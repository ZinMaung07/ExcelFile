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1.xml" ContentType="application/vnd.openxmlformats-officedocument.spreadsheetml.comments+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ables/table22.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D:\Yadana Zin Maumg (YAMIN)\Purchase &amp; Payment (2021)\"/>
    </mc:Choice>
  </mc:AlternateContent>
  <bookViews>
    <workbookView xWindow="-120" yWindow="-120" windowWidth="20730" windowHeight="11160" firstSheet="4" activeTab="4"/>
  </bookViews>
  <sheets>
    <sheet name="Supplier (COA)" sheetId="21" r:id="rId1"/>
    <sheet name="Armax Engine Oil" sheetId="1" r:id="rId2"/>
    <sheet name="Aspire Aim Machinery" sheetId="3" r:id="rId3"/>
    <sheet name="Aung Myit Tar" sheetId="4" r:id="rId4"/>
    <sheet name="GBS Co, LTD Tricycle" sheetId="6" r:id="rId5"/>
    <sheet name="Delita International Limited" sheetId="5" r:id="rId6"/>
    <sheet name="GBS Co, LTD Engine" sheetId="22" r:id="rId7"/>
    <sheet name="GBS Spare" sheetId="7" r:id="rId8"/>
    <sheet name="Ko Win Hlaing" sheetId="8" r:id="rId9"/>
    <sheet name="Kyinn Loon Myanmar" sheetId="9" r:id="rId10"/>
    <sheet name="Ma Au Bin" sheetId="10" r:id="rId11"/>
    <sheet name="Mann Ayawadi" sheetId="11" r:id="rId12"/>
    <sheet name="MDL Tricycle Spare" sheetId="12" r:id="rId13"/>
    <sheet name="Moe Thauk Ayar" sheetId="13" r:id="rId14"/>
    <sheet name="Sein Wut Hmon Co, LTD" sheetId="14" r:id="rId15"/>
    <sheet name="Shwe Than Lwin" sheetId="15" r:id="rId16"/>
    <sheet name="Shwe Yar Su" sheetId="16" r:id="rId17"/>
    <sheet name="Super" sheetId="17" r:id="rId18"/>
    <sheet name="Tat Shwe La Win " sheetId="18" r:id="rId19"/>
    <sheet name="UMG Co,LTD" sheetId="19" r:id="rId20"/>
    <sheet name="Zan (or) Mg Mg Soe" sheetId="20" r:id="rId21"/>
    <sheet name="Total Balance" sheetId="53" r:id="rId22"/>
    <sheet name="Sheet5" sheetId="65" r:id="rId23"/>
    <sheet name="Data Combine" sheetId="62" r:id="rId24"/>
  </sheets>
  <definedNames>
    <definedName name="ExternalData_1" localSheetId="23" hidden="1">'Data Combine'!$A$1:$J$445</definedName>
    <definedName name="_xlnm.Print_Area" localSheetId="21">'Total Balance'!$A$1:$F$23</definedName>
    <definedName name="Slicer_Content.Supplier_Name">#N/A</definedName>
  </definedNames>
  <calcPr calcId="162913"/>
  <pivotCaches>
    <pivotCache cacheId="0" r:id="rId25"/>
  </pivotCaches>
  <extLst>
    <ext xmlns:x14="http://schemas.microsoft.com/office/spreadsheetml/2009/9/main" uri="{BBE1A952-AA13-448e-AADC-164F8A28A991}">
      <x14:slicerCaches>
        <x14:slicerCache r:id="rId2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2" i="6" l="1"/>
  <c r="J2" i="22"/>
  <c r="I2" i="6" l="1"/>
  <c r="I2" i="22" l="1"/>
  <c r="C2" i="53" l="1"/>
  <c r="C3" i="53"/>
  <c r="D3" i="53"/>
  <c r="E3" i="53"/>
  <c r="F3" i="53"/>
  <c r="C4" i="53"/>
  <c r="D4" i="53"/>
  <c r="E4" i="53"/>
  <c r="F4" i="53"/>
  <c r="C5" i="53"/>
  <c r="D5" i="53"/>
  <c r="E5" i="53"/>
  <c r="F5" i="53"/>
  <c r="C6" i="53"/>
  <c r="D6" i="53"/>
  <c r="E6" i="53"/>
  <c r="F6" i="53"/>
  <c r="C7" i="53"/>
  <c r="D7" i="53"/>
  <c r="E7" i="53"/>
  <c r="F7" i="53"/>
  <c r="C8" i="53"/>
  <c r="D8" i="53"/>
  <c r="E8" i="53"/>
  <c r="F8" i="53"/>
  <c r="C9" i="53"/>
  <c r="D9" i="53"/>
  <c r="E9" i="53"/>
  <c r="F9" i="53"/>
  <c r="C10" i="53"/>
  <c r="D10" i="53"/>
  <c r="E10" i="53"/>
  <c r="F10" i="53"/>
  <c r="C11" i="53"/>
  <c r="D11" i="53"/>
  <c r="E11" i="53"/>
  <c r="F11" i="53"/>
  <c r="C12" i="53"/>
  <c r="D12" i="53"/>
  <c r="E12" i="53"/>
  <c r="F12" i="53"/>
  <c r="C13" i="53"/>
  <c r="D13" i="53"/>
  <c r="E13" i="53"/>
  <c r="F13" i="53"/>
  <c r="C14" i="53"/>
  <c r="D14" i="53"/>
  <c r="E14" i="53"/>
  <c r="F14" i="53"/>
  <c r="C15" i="53"/>
  <c r="D15" i="53"/>
  <c r="E15" i="53"/>
  <c r="F15" i="53"/>
  <c r="C16" i="53"/>
  <c r="D16" i="53"/>
  <c r="E16" i="53"/>
  <c r="F16" i="53"/>
  <c r="C17" i="53"/>
  <c r="D17" i="53"/>
  <c r="E17" i="53"/>
  <c r="F17" i="53"/>
  <c r="C18" i="53"/>
  <c r="D18" i="53"/>
  <c r="E18" i="53"/>
  <c r="F18" i="53"/>
  <c r="C19" i="53"/>
  <c r="D19" i="53"/>
  <c r="E19" i="53"/>
  <c r="F19" i="53"/>
  <c r="C20" i="53"/>
  <c r="D20" i="53"/>
  <c r="E20" i="53"/>
  <c r="F20" i="53"/>
  <c r="C21" i="53"/>
  <c r="D21" i="53"/>
  <c r="E21" i="53"/>
  <c r="F21" i="53"/>
  <c r="D2" i="53"/>
  <c r="E2" i="53"/>
  <c r="F2" i="53"/>
  <c r="E23" i="53" l="1"/>
  <c r="J4" i="20"/>
  <c r="J5" i="20"/>
  <c r="J6" i="20" s="1"/>
  <c r="J7" i="20" s="1"/>
  <c r="J8" i="20" s="1"/>
  <c r="J3" i="20"/>
  <c r="J2" i="20"/>
  <c r="J2" i="19"/>
  <c r="J2" i="18"/>
  <c r="J2" i="17"/>
  <c r="J2" i="16"/>
  <c r="J4" i="15"/>
  <c r="J5" i="15"/>
  <c r="J6" i="15" s="1"/>
  <c r="J7" i="15" s="1"/>
  <c r="J8" i="15" s="1"/>
  <c r="J3" i="15"/>
  <c r="J2" i="15"/>
  <c r="J3" i="14"/>
  <c r="J3" i="13"/>
  <c r="J2" i="13"/>
  <c r="J2" i="12"/>
  <c r="J2" i="11"/>
  <c r="J2" i="10"/>
  <c r="J4" i="9"/>
  <c r="J5" i="9"/>
  <c r="J6" i="9" s="1"/>
  <c r="J7" i="9" s="1"/>
  <c r="J8" i="9" s="1"/>
  <c r="J9" i="9" s="1"/>
  <c r="J3" i="9"/>
  <c r="J2" i="9"/>
  <c r="J2" i="7"/>
  <c r="J2" i="5"/>
  <c r="J4" i="4"/>
  <c r="J5" i="4"/>
  <c r="J3" i="4"/>
  <c r="J2" i="4"/>
  <c r="J4" i="1"/>
  <c r="J3" i="1"/>
  <c r="J2" i="1"/>
  <c r="I4" i="1" l="1"/>
  <c r="I3" i="1"/>
  <c r="I5" i="4" l="1"/>
  <c r="I8" i="15" l="1"/>
  <c r="I7" i="15"/>
  <c r="I6" i="15"/>
  <c r="I8" i="20"/>
  <c r="I7" i="20"/>
  <c r="I4" i="4"/>
  <c r="I3" i="4"/>
  <c r="I6" i="20"/>
  <c r="I5" i="20"/>
  <c r="I5" i="15"/>
  <c r="I3" i="13"/>
  <c r="I4" i="20" l="1"/>
  <c r="I4" i="15"/>
  <c r="I9" i="9" l="1"/>
  <c r="I8" i="9"/>
  <c r="I7" i="9"/>
  <c r="I6" i="9"/>
  <c r="I5" i="9"/>
  <c r="I4" i="9"/>
  <c r="I3" i="9"/>
  <c r="I3" i="14" l="1"/>
  <c r="I3" i="3" l="1"/>
  <c r="D23" i="53" l="1"/>
  <c r="I2" i="16"/>
  <c r="I2" i="17"/>
  <c r="I2" i="18"/>
  <c r="I3" i="20"/>
  <c r="C23" i="53" l="1"/>
  <c r="F23" i="53" l="1"/>
  <c r="I2" i="20"/>
  <c r="I2" i="19"/>
  <c r="I3" i="15"/>
  <c r="I2" i="15"/>
  <c r="I2" i="14"/>
  <c r="J2" i="14" s="1"/>
  <c r="I2" i="13"/>
  <c r="I2" i="12"/>
  <c r="I2" i="11"/>
  <c r="I2" i="10"/>
  <c r="I2" i="9"/>
  <c r="I3" i="8"/>
  <c r="I2" i="8"/>
  <c r="J2" i="8" s="1"/>
  <c r="J3" i="8" s="1"/>
  <c r="I2" i="7"/>
  <c r="I2" i="5"/>
  <c r="I2" i="4"/>
  <c r="I2" i="3"/>
  <c r="J2" i="3" s="1"/>
  <c r="J3" i="3" s="1"/>
  <c r="I2" i="1"/>
</calcChain>
</file>

<file path=xl/comments1.xml><?xml version="1.0" encoding="utf-8"?>
<comments xmlns="http://schemas.openxmlformats.org/spreadsheetml/2006/main">
  <authors>
    <author>User</author>
  </authors>
  <commentList>
    <comment ref="G14" authorId="0" shapeId="0">
      <text>
        <r>
          <rPr>
            <b/>
            <sz val="8"/>
            <color indexed="81"/>
            <rFont val="Tahoma"/>
            <family val="2"/>
          </rPr>
          <t>User:</t>
        </r>
        <r>
          <rPr>
            <sz val="8"/>
            <color indexed="81"/>
            <rFont val="Tahoma"/>
            <family val="2"/>
          </rPr>
          <t xml:space="preserve">
60 </t>
        </r>
      </text>
    </comment>
  </commentList>
</comments>
</file>

<file path=xl/connections.xml><?xml version="1.0" encoding="utf-8"?>
<connections xmlns="http://schemas.openxmlformats.org/spreadsheetml/2006/main">
  <connection id="1" keepAlive="1" name="Query - Query1" description="Connection to the 'Query1' query in the workbook." type="5" refreshedVersion="6" background="1" saveData="1">
    <dbPr connection="Provider=Microsoft.Mashup.OleDb.1;Data Source=$Workbook$;Location=Query1;Extended Properties=&quot;&quot;" command="SELECT * FROM [Query1]"/>
  </connection>
</connections>
</file>

<file path=xl/sharedStrings.xml><?xml version="1.0" encoding="utf-8"?>
<sst xmlns="http://schemas.openxmlformats.org/spreadsheetml/2006/main" count="613" uniqueCount="130">
  <si>
    <t>No</t>
  </si>
  <si>
    <t>Date</t>
  </si>
  <si>
    <t>Supplier Code</t>
  </si>
  <si>
    <t>Supplier Name</t>
  </si>
  <si>
    <t>Item Name</t>
  </si>
  <si>
    <t>Opening</t>
  </si>
  <si>
    <t>Purchase</t>
  </si>
  <si>
    <t>Payment</t>
  </si>
  <si>
    <t>Balance</t>
  </si>
  <si>
    <t>Armax Engine Oil</t>
  </si>
  <si>
    <t>Sub Account Name</t>
  </si>
  <si>
    <t>Pay202</t>
  </si>
  <si>
    <t>Arr Thit</t>
  </si>
  <si>
    <t>Current Assets</t>
  </si>
  <si>
    <t>Pay203</t>
  </si>
  <si>
    <t>Aspire Aim Machinery</t>
  </si>
  <si>
    <t>Non-Current Assets</t>
  </si>
  <si>
    <t>Pay204</t>
  </si>
  <si>
    <t>Aung Myit Tar</t>
  </si>
  <si>
    <t>Current Liabilities</t>
  </si>
  <si>
    <t>Pay205</t>
  </si>
  <si>
    <t>Delta International Limited</t>
  </si>
  <si>
    <t>Non-Current Liabilities</t>
  </si>
  <si>
    <t>Pay206</t>
  </si>
  <si>
    <t>Shereholder's and equity</t>
  </si>
  <si>
    <t>Pay207</t>
  </si>
  <si>
    <t>GBS Fertilizer</t>
  </si>
  <si>
    <t>Sales</t>
  </si>
  <si>
    <t>Pay208</t>
  </si>
  <si>
    <t>GBS Spare</t>
  </si>
  <si>
    <t>Cost of good sold</t>
  </si>
  <si>
    <t>Pay209</t>
  </si>
  <si>
    <t>Hope Flowers Fertilizer</t>
  </si>
  <si>
    <t>Other Income</t>
  </si>
  <si>
    <t>Pay210</t>
  </si>
  <si>
    <t>Hur Hong Co.Ltd</t>
  </si>
  <si>
    <t>Other Expenses</t>
  </si>
  <si>
    <t>Pay211</t>
  </si>
  <si>
    <t xml:space="preserve">Ko Win Hlaing </t>
  </si>
  <si>
    <t>Pay212</t>
  </si>
  <si>
    <t>Kyaw Ball</t>
  </si>
  <si>
    <t>Pay213</t>
  </si>
  <si>
    <t>Ma Au Bin</t>
  </si>
  <si>
    <t>Pay214</t>
  </si>
  <si>
    <t>MDL Tricycle Spare</t>
  </si>
  <si>
    <t>Pay215</t>
  </si>
  <si>
    <t>Sein Wut Hmon Co.Ltd</t>
  </si>
  <si>
    <t>Pay216</t>
  </si>
  <si>
    <t>Shwe Than Lwin</t>
  </si>
  <si>
    <t>Pay217</t>
  </si>
  <si>
    <t>Shwe Yar Su</t>
  </si>
  <si>
    <t>Pay218</t>
  </si>
  <si>
    <t>Tat Shwe La Win</t>
  </si>
  <si>
    <t>Pay219</t>
  </si>
  <si>
    <t>UMG Co,Ltd</t>
  </si>
  <si>
    <t>Pay220</t>
  </si>
  <si>
    <t>Zan (or) Mg Mg Soe</t>
  </si>
  <si>
    <t>Pay221</t>
  </si>
  <si>
    <t>Kyinn Loon Myanmar</t>
  </si>
  <si>
    <t>Pay222</t>
  </si>
  <si>
    <t>Moe thauk Ayar</t>
  </si>
  <si>
    <t>Pay223</t>
  </si>
  <si>
    <t>Pay224</t>
  </si>
  <si>
    <t>Mann Ayarwadi</t>
  </si>
  <si>
    <t>Pay225</t>
  </si>
  <si>
    <t>Super</t>
  </si>
  <si>
    <t>Pay226</t>
  </si>
  <si>
    <t xml:space="preserve">Ko Hla Ngwe </t>
  </si>
  <si>
    <t>GBS Co.Ltd Tricycle</t>
  </si>
  <si>
    <t>GBS Co.Ltd  Engine</t>
  </si>
  <si>
    <t>A/C Tipe</t>
  </si>
  <si>
    <t>½</t>
  </si>
  <si>
    <t>Pay228</t>
  </si>
  <si>
    <t>Vr.No</t>
  </si>
  <si>
    <t>Delita International Limied</t>
  </si>
  <si>
    <t>GBS Co, LTD Tricycle</t>
  </si>
  <si>
    <t>GBS Co, LTD Engine</t>
  </si>
  <si>
    <t>Ko Win Hlaing</t>
  </si>
  <si>
    <t>Mann Ayawadi</t>
  </si>
  <si>
    <t>Moe Thauk Ayar</t>
  </si>
  <si>
    <t>Sein Wut Hmon Co, LTD</t>
  </si>
  <si>
    <t xml:space="preserve">Tat Shwe La Win </t>
  </si>
  <si>
    <t>UMG Co,LTD</t>
  </si>
  <si>
    <t>Grand Total</t>
  </si>
  <si>
    <t>Total</t>
  </si>
  <si>
    <t>Content.Date</t>
  </si>
  <si>
    <t>Content.Vr.No</t>
  </si>
  <si>
    <t>Content.A/C Tipe</t>
  </si>
  <si>
    <t>Content.Supplier Name</t>
  </si>
  <si>
    <t>Content.Item Name</t>
  </si>
  <si>
    <t>Content.Opening</t>
  </si>
  <si>
    <t>Content.Purchase</t>
  </si>
  <si>
    <t>Content.Payment</t>
  </si>
  <si>
    <t>Content.Balance</t>
  </si>
  <si>
    <t>Sum of Content.Purchase</t>
  </si>
  <si>
    <t>Sum of Content.Payment</t>
  </si>
  <si>
    <t>ေဆးဖ်န္းဂန္းတံ အေျဖာင့္(28/6/21)</t>
  </si>
  <si>
    <t>Arrman 3လက္မ ပိုက္အျပာ(29/6/21)</t>
  </si>
  <si>
    <t>ေဘာ္ဒီအလြတ္(30/6/21)</t>
  </si>
  <si>
    <t>Arrman 4လက္မ ပိုက္အျပာ(5/7/21)</t>
  </si>
  <si>
    <t>ေဘာ္ဒီအလြတ္(9/7/21)</t>
  </si>
  <si>
    <t>ကားေဆးပန္႔(10/7/21)</t>
  </si>
  <si>
    <t>အနီေရာင္ေဘာ္ဒီလြတ္</t>
  </si>
  <si>
    <t>8လက္မ ကပ္စိမ္း300'</t>
  </si>
  <si>
    <t>JN WP 30(7.5)HP WATER PUMP</t>
  </si>
  <si>
    <t>တံခါးပတ္တာ</t>
  </si>
  <si>
    <t>ေငြလႊဲ - YGN</t>
  </si>
  <si>
    <t>195 ဘဲဒင္</t>
  </si>
  <si>
    <t>139 ကာ/တာ</t>
  </si>
  <si>
    <t>ထရန္စဖာအံု/ၾကားခံခါးဆက္(ရိုးရိုး)</t>
  </si>
  <si>
    <t>18ထုပ္ကိြဳင္</t>
  </si>
  <si>
    <t>Jelist2500D Gasoline Generator</t>
  </si>
  <si>
    <t>Honda ၿမက္ရိတ္စက္</t>
  </si>
  <si>
    <t>KAWA ဆီတိုင္ကီ</t>
  </si>
  <si>
    <t>6.5 P+R STD</t>
  </si>
  <si>
    <t>ကေရာင္းျမံဳခြံ</t>
  </si>
  <si>
    <t>9း35 စပါယ္ဖူး</t>
  </si>
  <si>
    <t>မိဘေမတၱာ6.5HP 10'အထိုင္</t>
  </si>
  <si>
    <t>ေငြလႊဲ - ဆိုင္</t>
  </si>
  <si>
    <t>ေငြလႊဲ - ဆိုင္(ပစၥည္းျပန္ပို႕)</t>
  </si>
  <si>
    <t>4လပိုင္း OPENING= 385,000</t>
  </si>
  <si>
    <t>5လပိုင္း OPENING= 344,520</t>
  </si>
  <si>
    <t>5လပိုင္း ေငြလႊဲ= 40,480</t>
  </si>
  <si>
    <t>6,7,8လပိုင္း OPENING =302500ျဖင့္ဖြင့္သည္</t>
  </si>
  <si>
    <t>Total balance</t>
  </si>
  <si>
    <t>Content.Total balance</t>
  </si>
  <si>
    <t xml:space="preserve"> Content.Opening</t>
  </si>
  <si>
    <t xml:space="preserve"> Content.Balance</t>
  </si>
  <si>
    <t>Months</t>
  </si>
  <si>
    <t>Aug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</si>
</sst>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43" formatCode="_(* #,##0.00_);_(* \(#,##0.00\);_(* &quot;-&quot;??_);_(@_)"/>
    <numFmt numFmtId="164" formatCode="_(* #,##0_);_(* \(#,##0\);_(* &quot;-&quot;??_);_(@_)"/>
    <numFmt numFmtId="165" formatCode="\V\-00000"/>
    <numFmt numFmtId="166" formatCode="dd/mmmm/yyyy"/>
    <numFmt numFmtId="167" formatCode="\V\-0000"/>
    <numFmt numFmtId="168" formatCode="d/mmm/yy"/>
    <numFmt numFmtId="169" formatCode="[$-409]d/mmm/yy;@"/>
  </numFmts>
  <fonts count="23" x14ac:knownFonts="1">
    <font>
      <sz val="11"/>
      <color theme="1"/>
      <name val="Calibri"/>
      <family val="2"/>
      <scheme val="minor"/>
    </font>
    <font>
      <sz val="11"/>
      <color theme="1"/>
      <name val="Zawgyi-One"/>
      <family val="2"/>
    </font>
    <font>
      <sz val="11"/>
      <color theme="1"/>
      <name val="Calibri"/>
      <family val="2"/>
      <scheme val="minor"/>
    </font>
    <font>
      <sz val="11"/>
      <color theme="1"/>
      <name val="Zawgyi-One"/>
      <family val="2"/>
    </font>
    <font>
      <b/>
      <sz val="11"/>
      <color theme="1"/>
      <name val="Zawgyi-One"/>
      <family val="2"/>
    </font>
    <font>
      <sz val="11"/>
      <color theme="1"/>
      <name val="Zawgyi-One"/>
      <family val="2"/>
    </font>
    <font>
      <sz val="11"/>
      <color theme="1"/>
      <name val="Zawgyi-One"/>
      <family val="2"/>
    </font>
    <font>
      <sz val="11"/>
      <color theme="1"/>
      <name val="Zawgyi-One"/>
      <family val="2"/>
    </font>
    <font>
      <sz val="11"/>
      <color theme="1"/>
      <name val="Zawgyi-One"/>
      <family val="2"/>
    </font>
    <font>
      <sz val="11"/>
      <color theme="1"/>
      <name val="Zawgyi-One"/>
      <family val="2"/>
    </font>
    <font>
      <sz val="11"/>
      <color theme="1"/>
      <name val="Zawgyi-One"/>
      <family val="2"/>
    </font>
    <font>
      <sz val="8"/>
      <name val="Calibri"/>
      <family val="2"/>
      <scheme val="minor"/>
    </font>
    <font>
      <sz val="11"/>
      <color theme="1"/>
      <name val="Zawgyi-One"/>
      <family val="2"/>
    </font>
    <font>
      <sz val="11"/>
      <color theme="1"/>
      <name val="Zawgyi-One"/>
      <family val="2"/>
    </font>
    <font>
      <sz val="11"/>
      <color theme="1"/>
      <name val="Zawgyi-One"/>
      <family val="2"/>
    </font>
    <font>
      <sz val="8"/>
      <color indexed="81"/>
      <name val="Tahoma"/>
      <family val="2"/>
    </font>
    <font>
      <b/>
      <sz val="8"/>
      <color indexed="81"/>
      <name val="Tahoma"/>
      <family val="2"/>
    </font>
    <font>
      <sz val="11"/>
      <color theme="1"/>
      <name val="Zawgyi-One"/>
      <family val="2"/>
    </font>
    <font>
      <sz val="11"/>
      <color theme="1"/>
      <name val="Zawgyi-One"/>
      <family val="2"/>
    </font>
    <font>
      <sz val="11"/>
      <color theme="1"/>
      <name val="Zawgyi-One"/>
      <family val="2"/>
    </font>
    <font>
      <sz val="11"/>
      <color theme="1"/>
      <name val="Zawgyi-One"/>
      <family val="2"/>
    </font>
    <font>
      <sz val="11"/>
      <color theme="1"/>
      <name val="Zawgyi-One"/>
    </font>
    <font>
      <b/>
      <sz val="11"/>
      <color theme="0"/>
      <name val="Zawgyi-One"/>
      <family val="2"/>
    </font>
  </fonts>
  <fills count="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1"/>
        <bgColor theme="1"/>
      </patternFill>
    </fill>
    <fill>
      <patternFill patternType="solid">
        <fgColor theme="0" tint="-0.34998626667073579"/>
        <bgColor theme="0" tint="-0.34998626667073579"/>
      </patternFill>
    </fill>
    <fill>
      <patternFill patternType="solid">
        <fgColor theme="0" tint="-0.14999847407452621"/>
        <bgColor theme="0" tint="-0.14999847407452621"/>
      </patternFill>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double">
        <color indexed="64"/>
      </bottom>
      <diagonal/>
    </border>
    <border>
      <left style="thin">
        <color theme="0"/>
      </left>
      <right/>
      <top style="thin">
        <color theme="0"/>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s>
  <cellStyleXfs count="2">
    <xf numFmtId="0" fontId="0" fillId="0" borderId="0"/>
    <xf numFmtId="43" fontId="2" fillId="0" borderId="0" applyFont="0" applyFill="0" applyBorder="0" applyAlignment="0" applyProtection="0"/>
  </cellStyleXfs>
  <cellXfs count="169">
    <xf numFmtId="0" fontId="0" fillId="0" borderId="0" xfId="0"/>
    <xf numFmtId="0" fontId="3" fillId="0" borderId="0" xfId="0" applyFont="1"/>
    <xf numFmtId="0" fontId="4" fillId="2" borderId="1" xfId="0" applyFont="1" applyFill="1" applyBorder="1" applyAlignment="1">
      <alignment horizontal="center"/>
    </xf>
    <xf numFmtId="0" fontId="3" fillId="0" borderId="1" xfId="0" applyFont="1" applyBorder="1" applyAlignment="1">
      <alignment horizontal="center"/>
    </xf>
    <xf numFmtId="0" fontId="3" fillId="3" borderId="1" xfId="0" applyFont="1" applyFill="1" applyBorder="1"/>
    <xf numFmtId="0" fontId="0" fillId="0" borderId="1" xfId="0" applyBorder="1" applyAlignment="1">
      <alignment horizontal="center"/>
    </xf>
    <xf numFmtId="0" fontId="3" fillId="0" borderId="1" xfId="0" applyFont="1" applyBorder="1"/>
    <xf numFmtId="0" fontId="3" fillId="0" borderId="0" xfId="0" applyFont="1" applyAlignment="1">
      <alignment horizontal="center"/>
    </xf>
    <xf numFmtId="164" fontId="3" fillId="0" borderId="0" xfId="1" applyNumberFormat="1" applyFont="1" applyAlignment="1">
      <alignment horizontal="center"/>
    </xf>
    <xf numFmtId="164" fontId="3" fillId="0" borderId="0" xfId="1" applyNumberFormat="1" applyFont="1" applyAlignment="1"/>
    <xf numFmtId="0" fontId="3" fillId="2" borderId="1" xfId="0" applyFont="1" applyFill="1" applyBorder="1"/>
    <xf numFmtId="165" fontId="3" fillId="0" borderId="0" xfId="0" applyNumberFormat="1" applyFont="1" applyAlignment="1">
      <alignment horizontal="center"/>
    </xf>
    <xf numFmtId="0" fontId="3" fillId="0" borderId="0" xfId="0" applyFont="1" applyAlignment="1">
      <alignment horizontal="left"/>
    </xf>
    <xf numFmtId="166" fontId="3" fillId="0" borderId="0" xfId="0" applyNumberFormat="1" applyFont="1" applyAlignment="1">
      <alignment horizontal="center"/>
    </xf>
    <xf numFmtId="0" fontId="5" fillId="0" borderId="0" xfId="0" applyFont="1" applyAlignment="1">
      <alignment horizontal="center"/>
    </xf>
    <xf numFmtId="14" fontId="5" fillId="0" borderId="0" xfId="0" applyNumberFormat="1" applyFont="1"/>
    <xf numFmtId="165" fontId="5" fillId="0" borderId="0" xfId="0" applyNumberFormat="1" applyFont="1" applyAlignment="1">
      <alignment horizontal="center"/>
    </xf>
    <xf numFmtId="164" fontId="5" fillId="0" borderId="0" xfId="1" applyNumberFormat="1" applyFont="1" applyAlignment="1"/>
    <xf numFmtId="166" fontId="5" fillId="0" borderId="0" xfId="0" applyNumberFormat="1" applyFont="1" applyAlignment="1">
      <alignment horizontal="center"/>
    </xf>
    <xf numFmtId="164" fontId="5" fillId="0" borderId="0" xfId="1" applyNumberFormat="1" applyFont="1" applyAlignment="1">
      <alignment horizontal="center"/>
    </xf>
    <xf numFmtId="164" fontId="3" fillId="3" borderId="1" xfId="1" applyNumberFormat="1" applyFont="1" applyFill="1" applyBorder="1" applyAlignment="1">
      <alignment horizontal="center"/>
    </xf>
    <xf numFmtId="0" fontId="3" fillId="0" borderId="0" xfId="0" applyFont="1" applyBorder="1" applyAlignment="1">
      <alignment horizontal="center"/>
    </xf>
    <xf numFmtId="164" fontId="3" fillId="0" borderId="0" xfId="1" applyNumberFormat="1" applyFont="1" applyBorder="1" applyAlignment="1">
      <alignment horizontal="center"/>
    </xf>
    <xf numFmtId="0" fontId="3" fillId="3" borderId="2" xfId="0" applyFont="1" applyFill="1" applyBorder="1"/>
    <xf numFmtId="0" fontId="3" fillId="3" borderId="3" xfId="0" applyNumberFormat="1" applyFont="1" applyFill="1" applyBorder="1"/>
    <xf numFmtId="164" fontId="4" fillId="0" borderId="4" xfId="1" applyNumberFormat="1" applyFont="1" applyBorder="1" applyAlignment="1">
      <alignment horizontal="center"/>
    </xf>
    <xf numFmtId="0" fontId="4" fillId="0" borderId="0" xfId="0" applyFont="1"/>
    <xf numFmtId="0" fontId="3" fillId="0" borderId="0" xfId="0" applyNumberFormat="1" applyFont="1"/>
    <xf numFmtId="0" fontId="6" fillId="0" borderId="0" xfId="0" applyFont="1" applyAlignment="1">
      <alignment horizontal="center"/>
    </xf>
    <xf numFmtId="165" fontId="6" fillId="0" borderId="0" xfId="0" applyNumberFormat="1" applyFont="1" applyAlignment="1">
      <alignment horizontal="center"/>
    </xf>
    <xf numFmtId="0" fontId="6" fillId="0" borderId="0" xfId="0" applyNumberFormat="1" applyFont="1"/>
    <xf numFmtId="164" fontId="6" fillId="0" borderId="0" xfId="1" applyNumberFormat="1" applyFont="1" applyAlignment="1">
      <alignment horizontal="center"/>
    </xf>
    <xf numFmtId="164" fontId="6" fillId="0" borderId="0" xfId="1" applyNumberFormat="1" applyFont="1" applyAlignment="1"/>
    <xf numFmtId="165" fontId="7" fillId="0" borderId="0" xfId="0" applyNumberFormat="1" applyFont="1" applyAlignment="1">
      <alignment horizontal="center"/>
    </xf>
    <xf numFmtId="0" fontId="7" fillId="0" borderId="0" xfId="0" applyNumberFormat="1" applyFont="1"/>
    <xf numFmtId="0" fontId="7" fillId="0" borderId="0" xfId="0" applyFont="1" applyAlignment="1">
      <alignment horizontal="center"/>
    </xf>
    <xf numFmtId="164" fontId="7" fillId="0" borderId="0" xfId="1" applyNumberFormat="1" applyFont="1" applyAlignment="1">
      <alignment horizontal="center"/>
    </xf>
    <xf numFmtId="164" fontId="7" fillId="0" borderId="0" xfId="1" applyNumberFormat="1" applyFont="1" applyAlignment="1"/>
    <xf numFmtId="165" fontId="8" fillId="0" borderId="0" xfId="0" applyNumberFormat="1" applyFont="1" applyAlignment="1">
      <alignment horizontal="center"/>
    </xf>
    <xf numFmtId="164" fontId="8" fillId="0" borderId="0" xfId="1" applyNumberFormat="1" applyFont="1" applyAlignment="1">
      <alignment horizontal="center"/>
    </xf>
    <xf numFmtId="164" fontId="8" fillId="0" borderId="0" xfId="1" applyNumberFormat="1" applyFont="1" applyAlignment="1"/>
    <xf numFmtId="0" fontId="1" fillId="0" borderId="0" xfId="0" applyFont="1"/>
    <xf numFmtId="0" fontId="1" fillId="0" borderId="0" xfId="0" applyFont="1" applyAlignment="1">
      <alignment horizontal="center"/>
    </xf>
    <xf numFmtId="167" fontId="5" fillId="0" borderId="0" xfId="0" applyNumberFormat="1" applyFont="1"/>
    <xf numFmtId="12" fontId="1" fillId="0" borderId="0" xfId="0" applyNumberFormat="1" applyFont="1" applyAlignment="1">
      <alignment horizontal="center"/>
    </xf>
    <xf numFmtId="165" fontId="1" fillId="0" borderId="0" xfId="0" applyNumberFormat="1" applyFont="1" applyAlignment="1">
      <alignment horizontal="center"/>
    </xf>
    <xf numFmtId="0" fontId="1" fillId="0" borderId="0" xfId="0" applyNumberFormat="1" applyFont="1"/>
    <xf numFmtId="164" fontId="1" fillId="0" borderId="0" xfId="1" applyNumberFormat="1" applyFont="1" applyAlignment="1">
      <alignment horizontal="center"/>
    </xf>
    <xf numFmtId="164" fontId="1" fillId="0" borderId="0" xfId="1" applyNumberFormat="1" applyFont="1" applyAlignment="1"/>
    <xf numFmtId="0" fontId="9" fillId="0" borderId="0" xfId="0" applyNumberFormat="1" applyFont="1"/>
    <xf numFmtId="164" fontId="9" fillId="0" borderId="0" xfId="1" applyNumberFormat="1" applyFont="1" applyAlignment="1">
      <alignment horizontal="center"/>
    </xf>
    <xf numFmtId="165" fontId="9" fillId="0" borderId="0" xfId="0" applyNumberFormat="1" applyFont="1" applyAlignment="1">
      <alignment horizontal="center"/>
    </xf>
    <xf numFmtId="0" fontId="9" fillId="0" borderId="0" xfId="0" applyFont="1" applyAlignment="1">
      <alignment horizontal="center"/>
    </xf>
    <xf numFmtId="164" fontId="9" fillId="0" borderId="0" xfId="1" applyNumberFormat="1" applyFont="1" applyAlignment="1"/>
    <xf numFmtId="165" fontId="5" fillId="0" borderId="0" xfId="0" applyNumberFormat="1" applyFont="1"/>
    <xf numFmtId="165" fontId="10" fillId="0" borderId="0" xfId="0" applyNumberFormat="1" applyFont="1" applyAlignment="1">
      <alignment horizontal="center"/>
    </xf>
    <xf numFmtId="0" fontId="10" fillId="0" borderId="0" xfId="0" applyNumberFormat="1" applyFont="1"/>
    <xf numFmtId="0" fontId="10" fillId="0" borderId="0" xfId="0" applyFont="1" applyAlignment="1">
      <alignment horizontal="center"/>
    </xf>
    <xf numFmtId="164" fontId="10" fillId="0" borderId="0" xfId="1" applyNumberFormat="1" applyFont="1" applyAlignment="1">
      <alignment horizontal="center"/>
    </xf>
    <xf numFmtId="164" fontId="10" fillId="0" borderId="0" xfId="1" applyNumberFormat="1" applyFont="1" applyAlignment="1"/>
    <xf numFmtId="12" fontId="10" fillId="0" borderId="0" xfId="0" applyNumberFormat="1" applyFont="1" applyAlignment="1">
      <alignment horizontal="center"/>
    </xf>
    <xf numFmtId="165" fontId="1" fillId="0" borderId="0" xfId="0" applyNumberFormat="1" applyFont="1"/>
    <xf numFmtId="167" fontId="10" fillId="0" borderId="0" xfId="0" applyNumberFormat="1" applyFont="1" applyAlignment="1">
      <alignment horizontal="center"/>
    </xf>
    <xf numFmtId="167" fontId="1" fillId="0" borderId="0" xfId="0" applyNumberFormat="1" applyFont="1"/>
    <xf numFmtId="167" fontId="3" fillId="0" borderId="0" xfId="0" applyNumberFormat="1" applyFont="1"/>
    <xf numFmtId="167" fontId="1" fillId="0" borderId="0" xfId="0" applyNumberFormat="1" applyFont="1" applyAlignment="1">
      <alignment horizontal="center"/>
    </xf>
    <xf numFmtId="165" fontId="10" fillId="0" borderId="0" xfId="0" applyNumberFormat="1" applyFont="1"/>
    <xf numFmtId="165" fontId="3" fillId="0" borderId="0" xfId="0" applyNumberFormat="1" applyFont="1"/>
    <xf numFmtId="165" fontId="9" fillId="0" borderId="0" xfId="0" applyNumberFormat="1" applyFont="1"/>
    <xf numFmtId="14" fontId="10" fillId="0" borderId="0" xfId="0" applyNumberFormat="1" applyFont="1"/>
    <xf numFmtId="164" fontId="12" fillId="0" borderId="0" xfId="1" applyNumberFormat="1" applyFont="1" applyAlignment="1">
      <alignment horizontal="center"/>
    </xf>
    <xf numFmtId="165" fontId="12" fillId="0" borderId="0" xfId="0" applyNumberFormat="1" applyFont="1"/>
    <xf numFmtId="165" fontId="12" fillId="0" borderId="0" xfId="0" applyNumberFormat="1" applyFont="1" applyAlignment="1">
      <alignment horizontal="center"/>
    </xf>
    <xf numFmtId="0" fontId="12" fillId="0" borderId="0" xfId="0" applyNumberFormat="1" applyFont="1"/>
    <xf numFmtId="0" fontId="12" fillId="0" borderId="0" xfId="0" applyFont="1" applyAlignment="1">
      <alignment horizontal="center"/>
    </xf>
    <xf numFmtId="164" fontId="12" fillId="0" borderId="0" xfId="1" applyNumberFormat="1" applyFont="1" applyAlignment="1"/>
    <xf numFmtId="167" fontId="13" fillId="0" borderId="0" xfId="0" applyNumberFormat="1" applyFont="1" applyAlignment="1">
      <alignment horizontal="center"/>
    </xf>
    <xf numFmtId="165" fontId="13" fillId="0" borderId="0" xfId="0" applyNumberFormat="1" applyFont="1" applyAlignment="1">
      <alignment horizontal="center"/>
    </xf>
    <xf numFmtId="0" fontId="13" fillId="0" borderId="0" xfId="0" applyNumberFormat="1" applyFont="1"/>
    <xf numFmtId="0" fontId="13" fillId="0" borderId="0" xfId="0" applyFont="1" applyAlignment="1">
      <alignment horizontal="center"/>
    </xf>
    <xf numFmtId="164" fontId="13" fillId="0" borderId="0" xfId="1" applyNumberFormat="1" applyFont="1" applyAlignment="1">
      <alignment horizontal="center"/>
    </xf>
    <xf numFmtId="164" fontId="13" fillId="0" borderId="0" xfId="1" applyNumberFormat="1" applyFont="1" applyAlignment="1"/>
    <xf numFmtId="165" fontId="14" fillId="0" borderId="0" xfId="0" applyNumberFormat="1" applyFont="1" applyAlignment="1">
      <alignment horizontal="center"/>
    </xf>
    <xf numFmtId="0" fontId="14" fillId="0" borderId="0" xfId="0" applyFont="1" applyAlignment="1">
      <alignment horizontal="center"/>
    </xf>
    <xf numFmtId="164" fontId="14" fillId="0" borderId="0" xfId="1" applyNumberFormat="1" applyFont="1" applyAlignment="1">
      <alignment horizontal="center"/>
    </xf>
    <xf numFmtId="164" fontId="14" fillId="0" borderId="0" xfId="1" applyNumberFormat="1" applyFont="1" applyAlignment="1"/>
    <xf numFmtId="0" fontId="14" fillId="0" borderId="0" xfId="0" applyNumberFormat="1" applyFont="1"/>
    <xf numFmtId="12" fontId="14" fillId="0" borderId="0" xfId="0" applyNumberFormat="1" applyFont="1" applyAlignment="1">
      <alignment horizontal="center"/>
    </xf>
    <xf numFmtId="167" fontId="14" fillId="0" borderId="0" xfId="0" applyNumberFormat="1" applyFont="1" applyAlignment="1">
      <alignment horizontal="center"/>
    </xf>
    <xf numFmtId="165" fontId="14" fillId="0" borderId="0" xfId="0" applyNumberFormat="1" applyFont="1"/>
    <xf numFmtId="165" fontId="17" fillId="0" borderId="0" xfId="0" applyNumberFormat="1" applyFont="1" applyAlignment="1">
      <alignment horizontal="center"/>
    </xf>
    <xf numFmtId="0" fontId="17" fillId="0" borderId="0" xfId="0" applyNumberFormat="1" applyFont="1"/>
    <xf numFmtId="0" fontId="17" fillId="0" borderId="0" xfId="0" applyFont="1" applyAlignment="1">
      <alignment horizontal="center"/>
    </xf>
    <xf numFmtId="164" fontId="17" fillId="0" borderId="0" xfId="1" applyNumberFormat="1" applyFont="1" applyAlignment="1">
      <alignment horizontal="center"/>
    </xf>
    <xf numFmtId="164" fontId="17" fillId="0" borderId="0" xfId="1" applyNumberFormat="1" applyFont="1" applyAlignment="1"/>
    <xf numFmtId="165" fontId="17" fillId="0" borderId="0" xfId="0" applyNumberFormat="1" applyFont="1"/>
    <xf numFmtId="168" fontId="3" fillId="0" borderId="0" xfId="0" applyNumberFormat="1" applyFont="1" applyAlignment="1">
      <alignment horizontal="center"/>
    </xf>
    <xf numFmtId="168" fontId="5" fillId="0" borderId="0" xfId="0" applyNumberFormat="1" applyFont="1" applyAlignment="1">
      <alignment horizontal="center"/>
    </xf>
    <xf numFmtId="168" fontId="17" fillId="0" borderId="0" xfId="0" applyNumberFormat="1" applyFont="1" applyAlignment="1">
      <alignment horizontal="center"/>
    </xf>
    <xf numFmtId="168" fontId="14" fillId="0" borderId="0" xfId="0" applyNumberFormat="1" applyFont="1" applyAlignment="1">
      <alignment horizontal="center"/>
    </xf>
    <xf numFmtId="168" fontId="10" fillId="0" borderId="0" xfId="0" applyNumberFormat="1" applyFont="1" applyAlignment="1">
      <alignment horizontal="center"/>
    </xf>
    <xf numFmtId="168" fontId="1" fillId="0" borderId="0" xfId="0" applyNumberFormat="1" applyFont="1" applyAlignment="1">
      <alignment horizontal="center"/>
    </xf>
    <xf numFmtId="168" fontId="9" fillId="0" borderId="0" xfId="0" applyNumberFormat="1" applyFont="1" applyAlignment="1">
      <alignment horizontal="center"/>
    </xf>
    <xf numFmtId="168" fontId="7" fillId="0" borderId="0" xfId="0" applyNumberFormat="1" applyFont="1" applyAlignment="1">
      <alignment horizontal="center"/>
    </xf>
    <xf numFmtId="168" fontId="6" fillId="0" borderId="0" xfId="0" applyNumberFormat="1" applyFont="1" applyAlignment="1">
      <alignment horizontal="center"/>
    </xf>
    <xf numFmtId="168" fontId="13" fillId="0" borderId="0" xfId="0" applyNumberFormat="1" applyFont="1" applyAlignment="1">
      <alignment horizontal="center"/>
    </xf>
    <xf numFmtId="169" fontId="3" fillId="0" borderId="0" xfId="0" applyNumberFormat="1" applyFont="1" applyAlignment="1">
      <alignment horizontal="center"/>
    </xf>
    <xf numFmtId="169" fontId="5" fillId="0" borderId="0" xfId="0" applyNumberFormat="1" applyFont="1" applyAlignment="1">
      <alignment horizontal="center"/>
    </xf>
    <xf numFmtId="169" fontId="10" fillId="0" borderId="0" xfId="0" applyNumberFormat="1" applyFont="1" applyAlignment="1">
      <alignment horizontal="center"/>
    </xf>
    <xf numFmtId="169" fontId="17" fillId="0" borderId="0" xfId="0" applyNumberFormat="1" applyFont="1" applyAlignment="1">
      <alignment horizontal="center"/>
    </xf>
    <xf numFmtId="169" fontId="12" fillId="0" borderId="0" xfId="0" applyNumberFormat="1" applyFont="1" applyAlignment="1">
      <alignment horizontal="center"/>
    </xf>
    <xf numFmtId="169" fontId="1" fillId="0" borderId="0" xfId="0" applyNumberFormat="1" applyFont="1" applyAlignment="1">
      <alignment horizontal="center"/>
    </xf>
    <xf numFmtId="168" fontId="18" fillId="0" borderId="0" xfId="0" applyNumberFormat="1" applyFont="1" applyAlignment="1">
      <alignment horizontal="center"/>
    </xf>
    <xf numFmtId="165" fontId="18" fillId="0" borderId="0" xfId="0" applyNumberFormat="1" applyFont="1" applyAlignment="1">
      <alignment horizontal="center"/>
    </xf>
    <xf numFmtId="0" fontId="18" fillId="0" borderId="0" xfId="0" applyNumberFormat="1" applyFont="1"/>
    <xf numFmtId="0" fontId="18" fillId="0" borderId="0" xfId="0" applyFont="1" applyAlignment="1">
      <alignment horizontal="center"/>
    </xf>
    <xf numFmtId="164" fontId="18" fillId="0" borderId="0" xfId="1" applyNumberFormat="1" applyFont="1" applyAlignment="1">
      <alignment horizontal="center"/>
    </xf>
    <xf numFmtId="164" fontId="18" fillId="0" borderId="0" xfId="1" applyNumberFormat="1" applyFont="1" applyAlignment="1"/>
    <xf numFmtId="168" fontId="19" fillId="0" borderId="0" xfId="0" applyNumberFormat="1" applyFont="1" applyAlignment="1">
      <alignment horizontal="center"/>
    </xf>
    <xf numFmtId="165" fontId="19" fillId="0" borderId="0" xfId="0" applyNumberFormat="1" applyFont="1" applyAlignment="1">
      <alignment horizontal="center"/>
    </xf>
    <xf numFmtId="0" fontId="19" fillId="0" borderId="0" xfId="0" applyFont="1" applyAlignment="1">
      <alignment horizontal="center"/>
    </xf>
    <xf numFmtId="164" fontId="19" fillId="0" borderId="0" xfId="1" applyNumberFormat="1" applyFont="1" applyAlignment="1">
      <alignment horizontal="center"/>
    </xf>
    <xf numFmtId="164" fontId="19" fillId="0" borderId="0" xfId="1" applyNumberFormat="1" applyFont="1" applyAlignment="1"/>
    <xf numFmtId="0" fontId="19" fillId="0" borderId="0" xfId="0" applyNumberFormat="1" applyFont="1"/>
    <xf numFmtId="165" fontId="19" fillId="0" borderId="0" xfId="0" applyNumberFormat="1" applyFont="1"/>
    <xf numFmtId="0" fontId="19" fillId="2" borderId="1" xfId="0" applyFont="1" applyFill="1" applyBorder="1" applyAlignment="1">
      <alignment horizontal="center"/>
    </xf>
    <xf numFmtId="12" fontId="1" fillId="2" borderId="1" xfId="0" applyNumberFormat="1" applyFont="1" applyFill="1" applyBorder="1" applyAlignment="1">
      <alignment horizontal="center"/>
    </xf>
    <xf numFmtId="0" fontId="3" fillId="0" borderId="0" xfId="0" applyFont="1" applyBorder="1"/>
    <xf numFmtId="164" fontId="3" fillId="0" borderId="0" xfId="1" applyNumberFormat="1" applyFont="1" applyBorder="1" applyAlignment="1"/>
    <xf numFmtId="164" fontId="20" fillId="0" borderId="0" xfId="1" applyNumberFormat="1" applyFont="1" applyAlignment="1">
      <alignment horizontal="center"/>
    </xf>
    <xf numFmtId="168" fontId="20" fillId="0" borderId="0" xfId="0" applyNumberFormat="1" applyFont="1" applyAlignment="1">
      <alignment horizontal="center"/>
    </xf>
    <xf numFmtId="165" fontId="20" fillId="0" borderId="0" xfId="0" applyNumberFormat="1" applyFont="1" applyAlignment="1">
      <alignment horizontal="center"/>
    </xf>
    <xf numFmtId="0" fontId="20" fillId="0" borderId="0" xfId="0" applyNumberFormat="1" applyFont="1"/>
    <xf numFmtId="0" fontId="20" fillId="0" borderId="0" xfId="0" applyFont="1" applyAlignment="1">
      <alignment horizontal="center"/>
    </xf>
    <xf numFmtId="164" fontId="20" fillId="0" borderId="0" xfId="1" applyNumberFormat="1" applyFont="1" applyAlignment="1"/>
    <xf numFmtId="165" fontId="20" fillId="0" borderId="0" xfId="0" applyNumberFormat="1" applyFont="1"/>
    <xf numFmtId="15" fontId="1" fillId="0" borderId="0" xfId="0" applyNumberFormat="1" applyFont="1"/>
    <xf numFmtId="15" fontId="0" fillId="0" borderId="0" xfId="0" applyNumberFormat="1"/>
    <xf numFmtId="164" fontId="1" fillId="0" borderId="0" xfId="1" applyNumberFormat="1" applyFont="1"/>
    <xf numFmtId="164" fontId="0" fillId="0" borderId="0" xfId="1" applyNumberFormat="1" applyFont="1"/>
    <xf numFmtId="164" fontId="1" fillId="0" borderId="0" xfId="0" applyNumberFormat="1" applyFont="1"/>
    <xf numFmtId="164" fontId="21" fillId="6" borderId="5" xfId="1" applyNumberFormat="1" applyFont="1" applyFill="1" applyBorder="1" applyAlignment="1">
      <alignment horizontal="center"/>
    </xf>
    <xf numFmtId="169" fontId="22" fillId="4" borderId="0" xfId="0" applyNumberFormat="1" applyFont="1" applyFill="1" applyBorder="1" applyAlignment="1">
      <alignment horizontal="center"/>
    </xf>
    <xf numFmtId="165" fontId="22" fillId="4" borderId="6" xfId="0" applyNumberFormat="1" applyFont="1" applyFill="1" applyBorder="1" applyAlignment="1">
      <alignment horizontal="center"/>
    </xf>
    <xf numFmtId="0" fontId="22" fillId="4" borderId="6" xfId="0" applyFont="1" applyFill="1" applyBorder="1"/>
    <xf numFmtId="0" fontId="22" fillId="4" borderId="6" xfId="0" applyFont="1" applyFill="1" applyBorder="1" applyAlignment="1">
      <alignment horizontal="center"/>
    </xf>
    <xf numFmtId="164" fontId="22" fillId="4" borderId="6" xfId="1" applyNumberFormat="1" applyFont="1" applyFill="1" applyBorder="1" applyAlignment="1">
      <alignment horizontal="center"/>
    </xf>
    <xf numFmtId="169" fontId="1" fillId="5" borderId="7" xfId="0" applyNumberFormat="1" applyFont="1" applyFill="1" applyBorder="1" applyAlignment="1">
      <alignment horizontal="center"/>
    </xf>
    <xf numFmtId="165" fontId="1" fillId="5" borderId="8" xfId="0" applyNumberFormat="1" applyFont="1" applyFill="1" applyBorder="1"/>
    <xf numFmtId="165" fontId="1" fillId="5" borderId="8" xfId="0" applyNumberFormat="1" applyFont="1" applyFill="1" applyBorder="1" applyAlignment="1">
      <alignment horizontal="center"/>
    </xf>
    <xf numFmtId="0" fontId="1" fillId="5" borderId="8" xfId="0" applyFont="1" applyFill="1" applyBorder="1"/>
    <xf numFmtId="0" fontId="1" fillId="5" borderId="8" xfId="0" applyFont="1" applyFill="1" applyBorder="1" applyAlignment="1">
      <alignment horizontal="center"/>
    </xf>
    <xf numFmtId="164" fontId="1" fillId="5" borderId="8" xfId="1" applyNumberFormat="1" applyFont="1" applyFill="1" applyBorder="1" applyAlignment="1">
      <alignment horizontal="center"/>
    </xf>
    <xf numFmtId="169" fontId="21" fillId="6" borderId="9" xfId="0" applyNumberFormat="1" applyFont="1" applyFill="1" applyBorder="1" applyAlignment="1">
      <alignment horizontal="center"/>
    </xf>
    <xf numFmtId="165" fontId="21" fillId="6" borderId="5" xfId="0" applyNumberFormat="1" applyFont="1" applyFill="1" applyBorder="1"/>
    <xf numFmtId="165" fontId="21" fillId="6" borderId="5" xfId="0" applyNumberFormat="1" applyFont="1" applyFill="1" applyBorder="1" applyAlignment="1">
      <alignment horizontal="center"/>
    </xf>
    <xf numFmtId="0" fontId="21" fillId="6" borderId="5" xfId="0" applyNumberFormat="1" applyFont="1" applyFill="1" applyBorder="1"/>
    <xf numFmtId="0" fontId="21" fillId="6" borderId="5" xfId="0" applyFont="1" applyFill="1" applyBorder="1" applyAlignment="1">
      <alignment horizontal="center"/>
    </xf>
    <xf numFmtId="164" fontId="21" fillId="6" borderId="5" xfId="1" applyNumberFormat="1" applyFont="1" applyFill="1" applyBorder="1" applyAlignment="1"/>
    <xf numFmtId="168" fontId="22" fillId="4" borderId="0" xfId="0" applyNumberFormat="1" applyFont="1" applyFill="1" applyBorder="1" applyAlignment="1">
      <alignment horizontal="center"/>
    </xf>
    <xf numFmtId="167" fontId="22" fillId="4" borderId="6" xfId="0" applyNumberFormat="1" applyFont="1" applyFill="1" applyBorder="1" applyAlignment="1">
      <alignment horizontal="center"/>
    </xf>
    <xf numFmtId="168" fontId="1" fillId="5" borderId="7" xfId="0" applyNumberFormat="1" applyFont="1" applyFill="1" applyBorder="1" applyAlignment="1">
      <alignment horizontal="center"/>
    </xf>
    <xf numFmtId="167" fontId="1" fillId="5" borderId="8" xfId="0" applyNumberFormat="1" applyFont="1" applyFill="1" applyBorder="1"/>
    <xf numFmtId="164" fontId="1" fillId="5" borderId="8" xfId="1" applyNumberFormat="1" applyFont="1" applyFill="1" applyBorder="1" applyAlignment="1"/>
    <xf numFmtId="168" fontId="21" fillId="6" borderId="9" xfId="0" applyNumberFormat="1" applyFont="1" applyFill="1" applyBorder="1" applyAlignment="1">
      <alignment horizontal="center"/>
    </xf>
    <xf numFmtId="167" fontId="21" fillId="6" borderId="5" xfId="0" applyNumberFormat="1" applyFont="1" applyFill="1" applyBorder="1" applyAlignment="1">
      <alignment horizontal="center"/>
    </xf>
    <xf numFmtId="0" fontId="21" fillId="0" borderId="0" xfId="0" applyFont="1"/>
    <xf numFmtId="164" fontId="21" fillId="0" borderId="0" xfId="0" applyNumberFormat="1" applyFont="1"/>
    <xf numFmtId="0" fontId="21" fillId="0" borderId="0" xfId="0" pivotButton="1" applyFont="1"/>
  </cellXfs>
  <cellStyles count="2">
    <cellStyle name="Comma" xfId="1" builtinId="3"/>
    <cellStyle name="Normal" xfId="0" builtinId="0"/>
  </cellStyles>
  <dxfs count="271">
    <dxf>
      <font>
        <strike val="0"/>
        <outline val="0"/>
        <shadow val="0"/>
        <u val="none"/>
        <vertAlign val="baseline"/>
        <sz val="11"/>
        <color theme="1"/>
        <name val="Zawgyi-One"/>
        <scheme val="none"/>
      </font>
      <numFmt numFmtId="164" formatCode="_(* #,##0_);_(* \(#,##0\);_(* &quot;-&quot;??_);_(@_)"/>
    </dxf>
    <dxf>
      <font>
        <strike val="0"/>
        <outline val="0"/>
        <shadow val="0"/>
        <u val="none"/>
        <vertAlign val="baseline"/>
        <sz val="11"/>
        <color theme="1"/>
        <name val="Zawgyi-One"/>
        <scheme val="none"/>
      </font>
      <numFmt numFmtId="164" formatCode="_(* #,##0_);_(* \(#,##0\);_(* &quot;-&quot;??_);_(@_)"/>
    </dxf>
    <dxf>
      <font>
        <strike val="0"/>
        <outline val="0"/>
        <shadow val="0"/>
        <u val="none"/>
        <vertAlign val="baseline"/>
        <sz val="11"/>
        <color theme="1"/>
        <name val="Zawgyi-One"/>
        <scheme val="none"/>
      </font>
      <numFmt numFmtId="164" formatCode="_(* #,##0_);_(* \(#,##0\);_(* &quot;-&quot;??_);_(@_)"/>
    </dxf>
    <dxf>
      <font>
        <strike val="0"/>
        <outline val="0"/>
        <shadow val="0"/>
        <u val="none"/>
        <vertAlign val="baseline"/>
        <sz val="11"/>
        <color theme="1"/>
        <name val="Zawgyi-One"/>
        <scheme val="none"/>
      </font>
      <numFmt numFmtId="164" formatCode="_(* #,##0_);_(* \(#,##0\);_(* &quot;-&quot;??_);_(@_)"/>
    </dxf>
    <dxf>
      <font>
        <strike val="0"/>
        <outline val="0"/>
        <shadow val="0"/>
        <u val="none"/>
        <vertAlign val="baseline"/>
        <sz val="11"/>
        <color theme="1"/>
        <name val="Zawgyi-One"/>
        <scheme val="none"/>
      </font>
      <numFmt numFmtId="164" formatCode="_(* #,##0_);_(* \(#,##0\);_(* &quot;-&quot;??_);_(@_)"/>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numFmt numFmtId="170" formatCode="d\-mmm\-yy"/>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numFmt numFmtId="164" formatCode="_(* #,##0_);_(* \(#,##0\);_(* &quot;-&quot;??_);_(@_)"/>
    </dxf>
    <dxf>
      <numFmt numFmtId="164" formatCode="_(* #,##0_);_(* \(#,##0\);_(* &quot;-&quot;??_);_(@_)"/>
    </dxf>
    <dxf>
      <numFmt numFmtId="171" formatCode="_(* #,##0.0_);_(* \(#,##0.0\);_(* &quot;-&quot;??_);_(@_)"/>
    </dxf>
    <dxf>
      <numFmt numFmtId="171"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fill>
        <patternFill patternType="solid">
          <fgColor indexed="64"/>
          <bgColor theme="0"/>
        </patternFill>
      </fill>
      <border diagonalUp="0" diagonalDown="0">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Zawgyi-One"/>
        <scheme val="none"/>
      </font>
      <numFmt numFmtId="0" formatCode="General"/>
      <fill>
        <patternFill patternType="solid">
          <fgColor indexed="64"/>
          <bgColor theme="0"/>
        </patternFill>
      </fill>
      <border diagonalUp="0" diagonalDown="0">
        <left/>
        <right style="thin">
          <color indexed="64"/>
        </right>
        <top style="thin">
          <color indexed="64"/>
        </top>
        <bottom style="thin">
          <color indexed="64"/>
        </bottom>
        <vertical/>
        <horizontal/>
      </border>
    </dxf>
    <dxf>
      <border diagonalUp="0" diagonalDown="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1"/>
        <color theme="1"/>
        <name val="Zawgyi-One"/>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0" formatCode="General"/>
    </dxf>
    <dxf>
      <font>
        <b val="0"/>
        <i val="0"/>
        <strike val="0"/>
        <condense val="0"/>
        <extend val="0"/>
        <outline val="0"/>
        <shadow val="0"/>
        <u val="none"/>
        <vertAlign val="baseline"/>
        <sz val="11"/>
        <color theme="1"/>
        <name val="Zawgyi-One"/>
        <scheme val="none"/>
      </font>
      <numFmt numFmtId="16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8" formatCode="d/mmm/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0" formatCode="General"/>
    </dxf>
    <dxf>
      <font>
        <b val="0"/>
        <i val="0"/>
        <strike val="0"/>
        <condense val="0"/>
        <extend val="0"/>
        <outline val="0"/>
        <shadow val="0"/>
        <u val="none"/>
        <vertAlign val="baseline"/>
        <sz val="11"/>
        <color theme="1"/>
        <name val="Zawgyi-One"/>
        <scheme val="none"/>
      </font>
      <numFmt numFmtId="16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72" formatCode="m/d/yyyy"/>
    </dxf>
    <dxf>
      <font>
        <b val="0"/>
        <i val="0"/>
        <strike val="0"/>
        <condense val="0"/>
        <extend val="0"/>
        <outline val="0"/>
        <shadow val="0"/>
        <u val="none"/>
        <vertAlign val="baseline"/>
        <sz val="11"/>
        <color theme="1"/>
        <name val="Zawgyi-One"/>
        <scheme val="none"/>
      </font>
      <numFmt numFmtId="166" formatCode="dd/mmmm/yy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0" formatCode="General"/>
    </dxf>
    <dxf>
      <font>
        <b val="0"/>
        <i val="0"/>
        <strike val="0"/>
        <condense val="0"/>
        <extend val="0"/>
        <outline val="0"/>
        <shadow val="0"/>
        <u val="none"/>
        <vertAlign val="baseline"/>
        <sz val="11"/>
        <color theme="1"/>
        <name val="Zawgyi-One"/>
        <scheme val="none"/>
      </font>
      <numFmt numFmtId="16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72" formatCode="m/d/yyyy"/>
    </dxf>
    <dxf>
      <font>
        <b val="0"/>
        <i val="0"/>
        <strike val="0"/>
        <condense val="0"/>
        <extend val="0"/>
        <outline val="0"/>
        <shadow val="0"/>
        <u val="none"/>
        <vertAlign val="baseline"/>
        <sz val="11"/>
        <color theme="1"/>
        <name val="Zawgyi-One"/>
        <scheme val="none"/>
      </font>
      <numFmt numFmtId="168" formatCode="d/mmm/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0" formatCode="General"/>
    </dxf>
    <dxf>
      <font>
        <b val="0"/>
        <i val="0"/>
        <strike val="0"/>
        <condense val="0"/>
        <extend val="0"/>
        <outline val="0"/>
        <shadow val="0"/>
        <u val="none"/>
        <vertAlign val="baseline"/>
        <sz val="11"/>
        <color theme="1"/>
        <name val="Zawgyi-One"/>
        <scheme val="none"/>
      </font>
      <numFmt numFmtId="16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8" formatCode="d/mmm/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0" formatCode="General"/>
    </dxf>
    <dxf>
      <font>
        <b val="0"/>
        <i val="0"/>
        <strike val="0"/>
        <condense val="0"/>
        <extend val="0"/>
        <outline val="0"/>
        <shadow val="0"/>
        <u val="none"/>
        <vertAlign val="baseline"/>
        <sz val="11"/>
        <color theme="1"/>
        <name val="Zawgyi-One"/>
        <scheme val="none"/>
      </font>
      <numFmt numFmtId="16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8" formatCode="d/mmm/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0" formatCode="General"/>
    </dxf>
    <dxf>
      <font>
        <b val="0"/>
        <i val="0"/>
        <strike val="0"/>
        <condense val="0"/>
        <extend val="0"/>
        <outline val="0"/>
        <shadow val="0"/>
        <u val="none"/>
        <vertAlign val="baseline"/>
        <sz val="11"/>
        <color theme="1"/>
        <name val="Zawgyi-One"/>
        <scheme val="none"/>
      </font>
      <numFmt numFmtId="16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8" formatCode="d/mmm/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0" formatCode="General"/>
    </dxf>
    <dxf>
      <font>
        <b val="0"/>
        <i val="0"/>
        <strike val="0"/>
        <condense val="0"/>
        <extend val="0"/>
        <outline val="0"/>
        <shadow val="0"/>
        <u val="none"/>
        <vertAlign val="baseline"/>
        <sz val="11"/>
        <color theme="1"/>
        <name val="Zawgyi-One"/>
        <scheme val="none"/>
      </font>
      <numFmt numFmtId="16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5" formatCode="\V\-00000"/>
    </dxf>
    <dxf>
      <font>
        <b val="0"/>
        <i val="0"/>
        <strike val="0"/>
        <condense val="0"/>
        <extend val="0"/>
        <outline val="0"/>
        <shadow val="0"/>
        <u val="none"/>
        <vertAlign val="baseline"/>
        <sz val="11"/>
        <color theme="1"/>
        <name val="Zawgyi-One"/>
        <scheme val="none"/>
      </font>
      <numFmt numFmtId="168" formatCode="d/mmm/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0" formatCode="General"/>
    </dxf>
    <dxf>
      <font>
        <b val="0"/>
        <i val="0"/>
        <strike val="0"/>
        <condense val="0"/>
        <extend val="0"/>
        <outline val="0"/>
        <shadow val="0"/>
        <u val="none"/>
        <vertAlign val="baseline"/>
        <sz val="11"/>
        <color theme="1"/>
        <name val="Zawgyi-One"/>
        <scheme val="none"/>
      </font>
      <numFmt numFmtId="16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8" formatCode="d/mmm/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0" formatCode="General"/>
    </dxf>
    <dxf>
      <font>
        <b val="0"/>
        <i val="0"/>
        <strike val="0"/>
        <condense val="0"/>
        <extend val="0"/>
        <outline val="0"/>
        <shadow val="0"/>
        <u val="none"/>
        <vertAlign val="baseline"/>
        <sz val="11"/>
        <color theme="1"/>
        <name val="Zawgyi-One"/>
        <scheme val="none"/>
      </font>
      <numFmt numFmtId="16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72" formatCode="m/d/yyyy"/>
    </dxf>
    <dxf>
      <font>
        <b val="0"/>
        <i val="0"/>
        <strike val="0"/>
        <condense val="0"/>
        <extend val="0"/>
        <outline val="0"/>
        <shadow val="0"/>
        <u val="none"/>
        <vertAlign val="baseline"/>
        <sz val="11"/>
        <color theme="1"/>
        <name val="Zawgyi-One"/>
        <scheme val="none"/>
      </font>
      <numFmt numFmtId="168" formatCode="d/mmm/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0" formatCode="General"/>
    </dxf>
    <dxf>
      <font>
        <b val="0"/>
        <i val="0"/>
        <strike val="0"/>
        <condense val="0"/>
        <extend val="0"/>
        <outline val="0"/>
        <shadow val="0"/>
        <u val="none"/>
        <vertAlign val="baseline"/>
        <sz val="11"/>
        <color theme="1"/>
        <name val="Zawgyi-One"/>
        <scheme val="none"/>
      </font>
      <numFmt numFmtId="16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8" formatCode="d/mmm/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0" formatCode="General"/>
    </dxf>
    <dxf>
      <font>
        <b val="0"/>
        <i val="0"/>
        <strike val="0"/>
        <condense val="0"/>
        <extend val="0"/>
        <outline val="0"/>
        <shadow val="0"/>
        <u val="none"/>
        <vertAlign val="baseline"/>
        <sz val="11"/>
        <color theme="1"/>
        <name val="Zawgyi-One"/>
        <scheme val="none"/>
      </font>
      <numFmt numFmtId="16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8" formatCode="d/mmm/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0" formatCode="General"/>
    </dxf>
    <dxf>
      <font>
        <b val="0"/>
        <i val="0"/>
        <strike val="0"/>
        <condense val="0"/>
        <extend val="0"/>
        <outline val="0"/>
        <shadow val="0"/>
        <u val="none"/>
        <vertAlign val="baseline"/>
        <sz val="11"/>
        <color theme="1"/>
        <name val="Zawgyi-One"/>
        <scheme val="none"/>
      </font>
      <numFmt numFmtId="16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8" formatCode="d/mmm/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0" formatCode="General"/>
    </dxf>
    <dxf>
      <font>
        <b val="0"/>
        <i val="0"/>
        <strike val="0"/>
        <condense val="0"/>
        <extend val="0"/>
        <outline val="0"/>
        <shadow val="0"/>
        <u val="none"/>
        <vertAlign val="baseline"/>
        <sz val="11"/>
        <color theme="1"/>
        <name val="Zawgyi-One"/>
        <scheme val="none"/>
      </font>
      <numFmt numFmtId="16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8" formatCode="d/mmm/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0" formatCode="General"/>
    </dxf>
    <dxf>
      <font>
        <b val="0"/>
        <i val="0"/>
        <strike val="0"/>
        <condense val="0"/>
        <extend val="0"/>
        <outline val="0"/>
        <shadow val="0"/>
        <u val="none"/>
        <vertAlign val="baseline"/>
        <sz val="11"/>
        <color theme="1"/>
        <name val="Zawgyi-One"/>
        <scheme val="none"/>
      </font>
      <numFmt numFmtId="16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8" formatCode="d/mmm/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numFmt numFmtId="164" formatCode="_(* #,##0_);_(* \(#,##0\);_(* &quot;-&quot;??_);_(@_)"/>
    </dxf>
    <dxf>
      <font>
        <b/>
        <i val="0"/>
        <strike val="0"/>
        <condense val="0"/>
        <extend val="0"/>
        <outline val="0"/>
        <shadow val="0"/>
        <u val="none"/>
        <vertAlign val="baseline"/>
        <sz val="11"/>
        <color theme="0"/>
        <name val="Zawgyi-One"/>
        <scheme val="none"/>
      </font>
      <numFmt numFmtId="164" formatCode="_(* #,##0_);_(* \(#,##0\);_(* &quot;-&quot;??_);_(@_)"/>
      <fill>
        <patternFill patternType="solid">
          <fgColor theme="1"/>
          <bgColor theme="1"/>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0" formatCode="General"/>
    </dxf>
    <dxf>
      <font>
        <b val="0"/>
        <i val="0"/>
        <strike val="0"/>
        <condense val="0"/>
        <extend val="0"/>
        <outline val="0"/>
        <shadow val="0"/>
        <u val="none"/>
        <vertAlign val="baseline"/>
        <sz val="11"/>
        <color theme="1"/>
        <name val="Zawgyi-One"/>
        <scheme val="none"/>
      </font>
      <numFmt numFmtId="16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5" formatCode="\V\-00000"/>
    </dxf>
    <dxf>
      <font>
        <b val="0"/>
        <i val="0"/>
        <strike val="0"/>
        <condense val="0"/>
        <extend val="0"/>
        <outline val="0"/>
        <shadow val="0"/>
        <u val="none"/>
        <vertAlign val="baseline"/>
        <sz val="11"/>
        <color theme="1"/>
        <name val="Zawgyi-One"/>
        <scheme val="none"/>
      </font>
      <numFmt numFmtId="168" formatCode="d/mmm/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i val="0"/>
        <strike val="0"/>
        <condense val="0"/>
        <extend val="0"/>
        <outline val="0"/>
        <shadow val="0"/>
        <u val="none"/>
        <vertAlign val="baseline"/>
        <sz val="11"/>
        <color theme="0"/>
        <name val="Zawgyi-One"/>
        <scheme val="none"/>
      </font>
      <numFmt numFmtId="164" formatCode="_(* #,##0_);_(* \(#,##0\);_(* &quot;-&quot;??_);_(@_)"/>
      <fill>
        <patternFill patternType="solid">
          <fgColor theme="1"/>
          <bgColor theme="1"/>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0" formatCode="General"/>
    </dxf>
    <dxf>
      <font>
        <b val="0"/>
        <i val="0"/>
        <strike val="0"/>
        <condense val="0"/>
        <extend val="0"/>
        <outline val="0"/>
        <shadow val="0"/>
        <u val="none"/>
        <vertAlign val="baseline"/>
        <sz val="11"/>
        <color theme="1"/>
        <name val="Zawgyi-One"/>
        <scheme val="none"/>
      </font>
      <numFmt numFmtId="16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8" formatCode="d/mmm/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0" formatCode="General"/>
    </dxf>
    <dxf>
      <font>
        <b val="0"/>
        <i val="0"/>
        <strike val="0"/>
        <condense val="0"/>
        <extend val="0"/>
        <outline val="0"/>
        <shadow val="0"/>
        <u val="none"/>
        <vertAlign val="baseline"/>
        <sz val="11"/>
        <color theme="1"/>
        <name val="Zawgyi-One"/>
        <scheme val="none"/>
      </font>
      <numFmt numFmtId="16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8" formatCode="d/mmm/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0" formatCode="General"/>
    </dxf>
    <dxf>
      <font>
        <b val="0"/>
        <i val="0"/>
        <strike val="0"/>
        <condense val="0"/>
        <extend val="0"/>
        <outline val="0"/>
        <shadow val="0"/>
        <u val="none"/>
        <vertAlign val="baseline"/>
        <sz val="11"/>
        <color theme="1"/>
        <name val="Zawgyi-One"/>
        <scheme val="none"/>
      </font>
      <numFmt numFmtId="16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5" formatCode="\V\-00000"/>
    </dxf>
    <dxf>
      <font>
        <b val="0"/>
        <i val="0"/>
        <strike val="0"/>
        <condense val="0"/>
        <extend val="0"/>
        <outline val="0"/>
        <shadow val="0"/>
        <u val="none"/>
        <vertAlign val="baseline"/>
        <sz val="11"/>
        <color theme="1"/>
        <name val="Zawgyi-One"/>
        <scheme val="none"/>
      </font>
      <numFmt numFmtId="168" formatCode="d/mmm/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3</xdr:col>
      <xdr:colOff>266700</xdr:colOff>
      <xdr:row>6</xdr:row>
      <xdr:rowOff>19050</xdr:rowOff>
    </xdr:from>
    <xdr:to>
      <xdr:col>3</xdr:col>
      <xdr:colOff>1076325</xdr:colOff>
      <xdr:row>7</xdr:row>
      <xdr:rowOff>123825</xdr:rowOff>
    </xdr:to>
    <xdr:sp macro="" textlink="">
      <xdr:nvSpPr>
        <xdr:cNvPr id="8" name="Rounded Rectangular Callout 7"/>
        <xdr:cNvSpPr/>
      </xdr:nvSpPr>
      <xdr:spPr>
        <a:xfrm>
          <a:off x="2886075" y="1676400"/>
          <a:ext cx="809625" cy="381000"/>
        </a:xfrm>
        <a:prstGeom prst="wedgeRoundRect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မ</a:t>
          </a:r>
          <a:r>
            <a:rPr lang="en-US" sz="1100">
              <a:latin typeface="Zawgyi-One" panose="020B0604030504040204" pitchFamily="34" charset="0"/>
              <a:cs typeface="Zawgyi-One" panose="020B0604030504040204" pitchFamily="34" charset="0"/>
            </a:rPr>
            <a:t>ွတ္ခ်က္</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1238250</xdr:colOff>
      <xdr:row>29</xdr:row>
      <xdr:rowOff>257175</xdr:rowOff>
    </xdr:from>
    <xdr:to>
      <xdr:col>5</xdr:col>
      <xdr:colOff>1581150</xdr:colOff>
      <xdr:row>39</xdr:row>
      <xdr:rowOff>19050</xdr:rowOff>
    </xdr:to>
    <mc:AlternateContent xmlns:mc="http://schemas.openxmlformats.org/markup-compatibility/2006" xmlns:a14="http://schemas.microsoft.com/office/drawing/2010/main">
      <mc:Choice Requires="a14">
        <xdr:graphicFrame macro="">
          <xdr:nvGraphicFramePr>
            <xdr:cNvPr id="2" name="Content.Supplier Name"/>
            <xdr:cNvGraphicFramePr/>
          </xdr:nvGraphicFramePr>
          <xdr:xfrm>
            <a:off x="0" y="0"/>
            <a:ext cx="0" cy="0"/>
          </xdr:xfrm>
          <a:graphic>
            <a:graphicData uri="http://schemas.microsoft.com/office/drawing/2010/slicer">
              <sle:slicer xmlns:sle="http://schemas.microsoft.com/office/drawing/2010/slicer" name="Content.Supplier Name"/>
            </a:graphicData>
          </a:graphic>
        </xdr:graphicFrame>
      </mc:Choice>
      <mc:Fallback xmlns="">
        <xdr:sp macro="" textlink="">
          <xdr:nvSpPr>
            <xdr:cNvPr id="0" name=""/>
            <xdr:cNvSpPr>
              <a:spLocks noTextEdit="1"/>
            </xdr:cNvSpPr>
          </xdr:nvSpPr>
          <xdr:spPr>
            <a:xfrm>
              <a:off x="8039100" y="826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User" refreshedDate="44458.506896990744" createdVersion="6" refreshedVersion="6" minRefreshableVersion="3" recordCount="100">
  <cacheSource type="worksheet">
    <worksheetSource name="Data_Combine"/>
  </cacheSource>
  <cacheFields count="11">
    <cacheField name="Content.Date" numFmtId="15">
      <sharedItems containsNonDate="0" containsDate="1" containsString="0" containsBlank="1" minDate="2021-07-01T00:00:00" maxDate="2021-09-01T00:00:00" count="14">
        <d v="2021-08-01T00:00:00"/>
        <d v="2021-08-30T00:00:00"/>
        <d v="2021-08-31T00:00:00"/>
        <d v="2021-08-24T00:00:00"/>
        <d v="2021-08-23T00:00:00"/>
        <d v="2021-08-26T00:00:00"/>
        <d v="2021-08-21T00:00:00"/>
        <d v="2021-08-17T00:00:00"/>
        <d v="2021-08-25T00:00:00"/>
        <d v="2021-08-20T00:00:00"/>
        <d v="2021-08-27T00:00:00"/>
        <d v="2021-07-01T00:00:00"/>
        <d v="2021-08-28T00:00:00"/>
        <m/>
      </sharedItems>
      <fieldGroup par="10" base="0">
        <rangePr groupBy="days" startDate="2021-07-01T00:00:00" endDate="2021-09-01T00:00:00"/>
        <groupItems count="368">
          <s v="(blank)"/>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9-21"/>
        </groupItems>
      </fieldGroup>
    </cacheField>
    <cacheField name="Content.Vr.No" numFmtId="0">
      <sharedItems containsString="0" containsBlank="1" containsNumber="1" containsInteger="1" minValue="204" maxValue="659211"/>
    </cacheField>
    <cacheField name="Content.A/C Tipe" numFmtId="0">
      <sharedItems containsBlank="1"/>
    </cacheField>
    <cacheField name="Content.Supplier Name" numFmtId="0">
      <sharedItems containsBlank="1" count="21">
        <s v="Armax Engine Oil"/>
        <s v="Aspire Aim Machinery"/>
        <s v="Aung Myit Tar"/>
        <s v="GBS Co, LTD Tricycle"/>
        <s v="Delita International Limied"/>
        <s v="GBS Co, LTD Engine"/>
        <s v="GBS Spare"/>
        <s v="Ko Win Hlaing"/>
        <s v="Kyinn Loon Myanmar"/>
        <s v="Ma Au Bin"/>
        <s v="Mann Ayawadi"/>
        <s v="MDL Tricycle Spare"/>
        <s v="Moe Thauk Ayar"/>
        <s v="Sein Wut Hmon Co, LTD"/>
        <s v="Shwe Than Lwin"/>
        <s v="Shwe Yar Su"/>
        <s v="Super"/>
        <s v="Tat Shwe La Win "/>
        <s v="UMG Co,LTD"/>
        <s v="Zan (or) Mg Mg Soe"/>
        <m/>
      </sharedItems>
    </cacheField>
    <cacheField name="Content.Item Name" numFmtId="0">
      <sharedItems containsBlank="1" count="26">
        <s v="Opening"/>
        <s v="ေငြလႊဲ - ဆိုင္"/>
        <s v="ေငြလႊဲ - ဆိုင္(ပစၥည္းျပန္ပို႕)"/>
        <s v="KAWA ဆီတိုင္ကီ"/>
        <s v="139 ကာ/တာ"/>
        <s v="195 ဘဲဒင္"/>
        <s v="6.5 P+R STD"/>
        <s v="8လက္မ ကပ္စိမ္း300'"/>
        <s v="ေဆးဖ်န္းဂန္းတံ အေျဖာင့္(28/6/21)"/>
        <s v="Arrman 3လက္မ ပိုက္အျပာ(29/6/21)"/>
        <s v="ေဘာ္ဒီအလြတ္(30/6/21)"/>
        <s v="Arrman 4လက္မ ပိုက္အျပာ(5/7/21)"/>
        <s v="ေဘာ္ဒီအလြတ္(9/7/21)"/>
        <s v="ကားေဆးပန္႔(10/7/21)"/>
        <s v="အနီေရာင္ေဘာ္ဒီလြတ္"/>
        <s v="ေငြလႊဲ - YGN"/>
        <s v="JN WP 30(7.5)HP WATER PUMP"/>
        <s v="Jelist2500D Gasoline Generator"/>
        <s v="Honda ၿမက္ရိတ္စက္"/>
        <s v="မိဘေမတၱာ6.5HP 10'အထိုင္"/>
        <s v="တံခါးပတ္တာ"/>
        <s v="ထရန္စဖာအံု/ၾကားခံခါးဆက္(ရိုးရိုး)"/>
        <s v="18ထုပ္ကိြဳင္"/>
        <s v="ကေရာင္းျမံဳခြံ"/>
        <s v="9း35 စပါယ္ဖူး"/>
        <m/>
      </sharedItems>
    </cacheField>
    <cacheField name="Content.Opening" numFmtId="164">
      <sharedItems containsString="0" containsBlank="1" containsNumber="1" containsInteger="1" minValue="0" maxValue="16740000"/>
    </cacheField>
    <cacheField name="Content.Purchase" numFmtId="164">
      <sharedItems containsString="0" containsBlank="1" containsNumber="1" containsInteger="1" minValue="3675" maxValue="374000"/>
    </cacheField>
    <cacheField name="Content.Payment" numFmtId="164">
      <sharedItems containsString="0" containsBlank="1" containsNumber="1" containsInteger="1" minValue="16500" maxValue="1000000"/>
    </cacheField>
    <cacheField name="Content.Balance" numFmtId="164">
      <sharedItems containsString="0" containsBlank="1" containsNumber="1" containsInteger="1" minValue="-1000000" maxValue="16740000"/>
    </cacheField>
    <cacheField name="Content.Total balance" numFmtId="164">
      <sharedItems containsString="0" containsBlank="1" containsNumber="1" containsInteger="1" minValue="0" maxValue="16740000"/>
    </cacheField>
    <cacheField name="Months" numFmtId="0" databaseField="0">
      <fieldGroup base="0">
        <rangePr groupBy="months" startDate="2021-07-01T00:00:00" endDate="2021-09-01T00:00:00"/>
        <groupItems count="14">
          <s v="&lt;01-07-21"/>
          <s v="Jan"/>
          <s v="Feb"/>
          <s v="Mar"/>
          <s v="Apr"/>
          <s v="May"/>
          <s v="Jun"/>
          <s v="Jul"/>
          <s v="Aug"/>
          <s v="Sep"/>
          <s v="Oct"/>
          <s v="Nov"/>
          <s v="Dec"/>
          <s v="&gt;01-09-21"/>
        </groupItems>
      </fieldGroup>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00">
  <r>
    <x v="0"/>
    <m/>
    <s v="Opening"/>
    <x v="0"/>
    <x v="0"/>
    <n v="302500"/>
    <m/>
    <m/>
    <n v="302500"/>
    <n v="302500"/>
  </r>
  <r>
    <x v="1"/>
    <n v="243"/>
    <s v="Payment"/>
    <x v="0"/>
    <x v="1"/>
    <m/>
    <m/>
    <n v="16500"/>
    <n v="-16500"/>
    <n v="286000"/>
  </r>
  <r>
    <x v="2"/>
    <n v="204"/>
    <s v="Payment"/>
    <x v="0"/>
    <x v="2"/>
    <m/>
    <m/>
    <n v="286000"/>
    <n v="-286000"/>
    <n v="0"/>
  </r>
  <r>
    <x v="0"/>
    <m/>
    <s v="Opening"/>
    <x v="1"/>
    <x v="0"/>
    <n v="306000"/>
    <m/>
    <m/>
    <n v="306000"/>
    <n v="306000"/>
  </r>
  <r>
    <x v="3"/>
    <n v="80395"/>
    <s v="Purchase"/>
    <x v="1"/>
    <x v="3"/>
    <m/>
    <n v="142450"/>
    <m/>
    <n v="142450"/>
    <n v="448450"/>
  </r>
  <r>
    <x v="0"/>
    <m/>
    <s v="Opening"/>
    <x v="2"/>
    <x v="0"/>
    <n v="706911"/>
    <m/>
    <m/>
    <n v="706911"/>
    <n v="706911"/>
  </r>
  <r>
    <x v="4"/>
    <n v="2168"/>
    <s v="Purchase"/>
    <x v="2"/>
    <x v="4"/>
    <m/>
    <n v="36350"/>
    <m/>
    <n v="36350"/>
    <n v="743261"/>
  </r>
  <r>
    <x v="3"/>
    <n v="21462"/>
    <s v="Purchase"/>
    <x v="2"/>
    <x v="5"/>
    <m/>
    <n v="3675"/>
    <m/>
    <n v="3675"/>
    <n v="746936"/>
  </r>
  <r>
    <x v="5"/>
    <n v="21686"/>
    <s v="Purchase"/>
    <x v="2"/>
    <x v="6"/>
    <m/>
    <n v="38600"/>
    <m/>
    <n v="38600"/>
    <n v="785536"/>
  </r>
  <r>
    <x v="0"/>
    <m/>
    <s v="Opening"/>
    <x v="3"/>
    <x v="0"/>
    <n v="16740000"/>
    <m/>
    <m/>
    <n v="16740000"/>
    <n v="16740000"/>
  </r>
  <r>
    <x v="0"/>
    <m/>
    <s v="Opening"/>
    <x v="4"/>
    <x v="0"/>
    <n v="1090960"/>
    <m/>
    <m/>
    <n v="1090960"/>
    <n v="1090960"/>
  </r>
  <r>
    <x v="0"/>
    <m/>
    <s v="Opening"/>
    <x v="5"/>
    <x v="0"/>
    <n v="983000"/>
    <m/>
    <m/>
    <n v="983000"/>
    <n v="983000"/>
  </r>
  <r>
    <x v="0"/>
    <m/>
    <s v="Opening"/>
    <x v="6"/>
    <x v="0"/>
    <m/>
    <m/>
    <m/>
    <n v="0"/>
    <n v="0"/>
  </r>
  <r>
    <x v="0"/>
    <m/>
    <s v="Opening"/>
    <x v="7"/>
    <x v="0"/>
    <n v="1657480"/>
    <m/>
    <m/>
    <n v="1657480"/>
    <n v="1657480"/>
  </r>
  <r>
    <x v="6"/>
    <n v="2813"/>
    <s v="Purchase"/>
    <x v="7"/>
    <x v="7"/>
    <m/>
    <n v="98000"/>
    <m/>
    <n v="98000"/>
    <n v="1755480"/>
  </r>
  <r>
    <x v="0"/>
    <m/>
    <s v="Opening"/>
    <x v="8"/>
    <x v="0"/>
    <m/>
    <m/>
    <m/>
    <n v="0"/>
    <n v="0"/>
  </r>
  <r>
    <x v="6"/>
    <n v="216066"/>
    <s v="Purchase"/>
    <x v="8"/>
    <x v="8"/>
    <m/>
    <n v="85480"/>
    <m/>
    <n v="85480"/>
    <n v="85480"/>
  </r>
  <r>
    <x v="6"/>
    <n v="216068"/>
    <s v="Purchase"/>
    <x v="8"/>
    <x v="9"/>
    <m/>
    <n v="126600"/>
    <m/>
    <n v="126600"/>
    <n v="212080"/>
  </r>
  <r>
    <x v="6"/>
    <n v="216070"/>
    <s v="Purchase"/>
    <x v="8"/>
    <x v="10"/>
    <m/>
    <n v="84900"/>
    <m/>
    <n v="84900"/>
    <n v="296980"/>
  </r>
  <r>
    <x v="6"/>
    <n v="217010"/>
    <s v="Purchase"/>
    <x v="8"/>
    <x v="11"/>
    <m/>
    <n v="114000"/>
    <m/>
    <n v="114000"/>
    <n v="410980"/>
  </r>
  <r>
    <x v="6"/>
    <n v="217023"/>
    <s v="Purchase"/>
    <x v="8"/>
    <x v="12"/>
    <m/>
    <n v="61000"/>
    <m/>
    <n v="61000"/>
    <n v="471980"/>
  </r>
  <r>
    <x v="6"/>
    <n v="217025"/>
    <s v="Purchase"/>
    <x v="8"/>
    <x v="13"/>
    <m/>
    <n v="65800"/>
    <m/>
    <n v="65800"/>
    <n v="537780"/>
  </r>
  <r>
    <x v="7"/>
    <n v="321832"/>
    <s v="Purchase"/>
    <x v="8"/>
    <x v="14"/>
    <m/>
    <n v="144600"/>
    <m/>
    <n v="144600"/>
    <n v="682380"/>
  </r>
  <r>
    <x v="0"/>
    <m/>
    <s v="Opening"/>
    <x v="9"/>
    <x v="0"/>
    <n v="0"/>
    <m/>
    <m/>
    <n v="0"/>
    <n v="0"/>
  </r>
  <r>
    <x v="0"/>
    <m/>
    <s v="Opening"/>
    <x v="10"/>
    <x v="0"/>
    <n v="0"/>
    <m/>
    <m/>
    <n v="0"/>
    <n v="0"/>
  </r>
  <r>
    <x v="0"/>
    <m/>
    <s v="Opening"/>
    <x v="11"/>
    <x v="0"/>
    <n v="2208992"/>
    <m/>
    <m/>
    <n v="2208992"/>
    <n v="2208992"/>
  </r>
  <r>
    <x v="0"/>
    <m/>
    <s v="Opening"/>
    <x v="12"/>
    <x v="0"/>
    <n v="837010"/>
    <m/>
    <m/>
    <n v="837010"/>
    <n v="837010"/>
  </r>
  <r>
    <x v="8"/>
    <n v="222"/>
    <s v="Payment"/>
    <x v="12"/>
    <x v="15"/>
    <m/>
    <m/>
    <n v="837000"/>
    <n v="-837000"/>
    <n v="10"/>
  </r>
  <r>
    <x v="0"/>
    <m/>
    <s v="Opening"/>
    <x v="13"/>
    <x v="0"/>
    <n v="188580"/>
    <m/>
    <m/>
    <n v="188580"/>
    <n v="188580"/>
  </r>
  <r>
    <x v="2"/>
    <n v="1079"/>
    <s v="Payment"/>
    <x v="13"/>
    <x v="1"/>
    <m/>
    <m/>
    <n v="188580"/>
    <n v="-188580"/>
    <n v="0"/>
  </r>
  <r>
    <x v="0"/>
    <m/>
    <s v="Opening"/>
    <x v="14"/>
    <x v="0"/>
    <n v="1342500"/>
    <m/>
    <m/>
    <n v="1342500"/>
    <n v="1342500"/>
  </r>
  <r>
    <x v="9"/>
    <n v="80203"/>
    <s v="Purchase"/>
    <x v="14"/>
    <x v="16"/>
    <m/>
    <n v="374000"/>
    <m/>
    <n v="374000"/>
    <n v="1716500"/>
  </r>
  <r>
    <x v="8"/>
    <n v="881"/>
    <s v="Payment"/>
    <x v="14"/>
    <x v="15"/>
    <m/>
    <m/>
    <n v="1000000"/>
    <n v="-1000000"/>
    <n v="716500"/>
  </r>
  <r>
    <x v="5"/>
    <n v="878"/>
    <s v="Purchase"/>
    <x v="14"/>
    <x v="17"/>
    <m/>
    <n v="280000"/>
    <m/>
    <n v="280000"/>
    <n v="996500"/>
  </r>
  <r>
    <x v="3"/>
    <n v="850"/>
    <s v="Purchase"/>
    <x v="14"/>
    <x v="18"/>
    <m/>
    <n v="110000"/>
    <m/>
    <n v="110000"/>
    <n v="1106500"/>
  </r>
  <r>
    <x v="3"/>
    <n v="849"/>
    <s v="Purchase"/>
    <x v="14"/>
    <x v="18"/>
    <m/>
    <n v="110000"/>
    <m/>
    <n v="110000"/>
    <n v="1216500"/>
  </r>
  <r>
    <x v="10"/>
    <n v="2503"/>
    <s v="Purchase"/>
    <x v="14"/>
    <x v="19"/>
    <m/>
    <n v="95000"/>
    <m/>
    <n v="95000"/>
    <n v="1311500"/>
  </r>
  <r>
    <x v="0"/>
    <m/>
    <s v="Opening"/>
    <x v="15"/>
    <x v="0"/>
    <m/>
    <m/>
    <m/>
    <n v="0"/>
    <n v="0"/>
  </r>
  <r>
    <x v="0"/>
    <m/>
    <s v="Opening"/>
    <x v="16"/>
    <x v="0"/>
    <n v="0"/>
    <m/>
    <m/>
    <n v="0"/>
    <n v="0"/>
  </r>
  <r>
    <x v="0"/>
    <m/>
    <s v="Opening"/>
    <x v="17"/>
    <x v="0"/>
    <n v="0"/>
    <m/>
    <m/>
    <n v="0"/>
    <n v="0"/>
  </r>
  <r>
    <x v="11"/>
    <m/>
    <s v="Opening"/>
    <x v="18"/>
    <x v="0"/>
    <n v="143000"/>
    <m/>
    <m/>
    <n v="143000"/>
    <n v="143000"/>
  </r>
  <r>
    <x v="0"/>
    <m/>
    <s v="Opening"/>
    <x v="19"/>
    <x v="0"/>
    <n v="689502"/>
    <m/>
    <m/>
    <n v="689502"/>
    <n v="689502"/>
  </r>
  <r>
    <x v="9"/>
    <n v="155213"/>
    <s v="Purchase"/>
    <x v="19"/>
    <x v="20"/>
    <m/>
    <n v="343594"/>
    <m/>
    <n v="343594"/>
    <n v="1033096"/>
  </r>
  <r>
    <x v="8"/>
    <n v="265211"/>
    <s v="Payment"/>
    <x v="19"/>
    <x v="15"/>
    <m/>
    <m/>
    <n v="1000000"/>
    <n v="-1000000"/>
    <n v="33096"/>
  </r>
  <r>
    <x v="8"/>
    <n v="659211"/>
    <s v="Purchase"/>
    <x v="19"/>
    <x v="21"/>
    <m/>
    <n v="181196"/>
    <m/>
    <n v="181196"/>
    <n v="214292"/>
  </r>
  <r>
    <x v="3"/>
    <n v="652211"/>
    <s v="Purchase"/>
    <x v="19"/>
    <x v="22"/>
    <m/>
    <n v="315750"/>
    <m/>
    <n v="315750"/>
    <n v="530042"/>
  </r>
  <r>
    <x v="5"/>
    <m/>
    <s v="Purchase"/>
    <x v="19"/>
    <x v="23"/>
    <m/>
    <n v="14958"/>
    <m/>
    <n v="14958"/>
    <n v="545000"/>
  </r>
  <r>
    <x v="12"/>
    <n v="162213"/>
    <s v="Purchase"/>
    <x v="19"/>
    <x v="24"/>
    <m/>
    <n v="96363"/>
    <m/>
    <n v="96363"/>
    <n v="641363"/>
  </r>
  <r>
    <x v="13"/>
    <m/>
    <m/>
    <x v="20"/>
    <x v="25"/>
    <m/>
    <m/>
    <m/>
    <m/>
    <m/>
  </r>
  <r>
    <x v="13"/>
    <m/>
    <m/>
    <x v="20"/>
    <x v="25"/>
    <m/>
    <m/>
    <m/>
    <m/>
    <m/>
  </r>
  <r>
    <x v="13"/>
    <m/>
    <m/>
    <x v="20"/>
    <x v="25"/>
    <m/>
    <m/>
    <m/>
    <m/>
    <m/>
  </r>
  <r>
    <x v="13"/>
    <m/>
    <m/>
    <x v="20"/>
    <x v="25"/>
    <m/>
    <m/>
    <m/>
    <m/>
    <m/>
  </r>
  <r>
    <x v="13"/>
    <m/>
    <m/>
    <x v="20"/>
    <x v="25"/>
    <m/>
    <m/>
    <m/>
    <m/>
    <m/>
  </r>
  <r>
    <x v="13"/>
    <m/>
    <m/>
    <x v="20"/>
    <x v="25"/>
    <m/>
    <m/>
    <m/>
    <m/>
    <m/>
  </r>
  <r>
    <x v="13"/>
    <m/>
    <m/>
    <x v="20"/>
    <x v="25"/>
    <m/>
    <m/>
    <m/>
    <m/>
    <m/>
  </r>
  <r>
    <x v="13"/>
    <m/>
    <m/>
    <x v="20"/>
    <x v="25"/>
    <m/>
    <m/>
    <m/>
    <m/>
    <m/>
  </r>
  <r>
    <x v="13"/>
    <m/>
    <m/>
    <x v="20"/>
    <x v="25"/>
    <m/>
    <m/>
    <m/>
    <m/>
    <m/>
  </r>
  <r>
    <x v="13"/>
    <m/>
    <m/>
    <x v="20"/>
    <x v="25"/>
    <m/>
    <m/>
    <m/>
    <m/>
    <m/>
  </r>
  <r>
    <x v="13"/>
    <m/>
    <m/>
    <x v="20"/>
    <x v="25"/>
    <m/>
    <m/>
    <m/>
    <m/>
    <m/>
  </r>
  <r>
    <x v="13"/>
    <m/>
    <m/>
    <x v="20"/>
    <x v="25"/>
    <m/>
    <m/>
    <m/>
    <m/>
    <m/>
  </r>
  <r>
    <x v="13"/>
    <m/>
    <m/>
    <x v="20"/>
    <x v="25"/>
    <m/>
    <m/>
    <m/>
    <m/>
    <m/>
  </r>
  <r>
    <x v="13"/>
    <m/>
    <m/>
    <x v="20"/>
    <x v="25"/>
    <m/>
    <m/>
    <m/>
    <m/>
    <m/>
  </r>
  <r>
    <x v="13"/>
    <m/>
    <m/>
    <x v="20"/>
    <x v="25"/>
    <m/>
    <m/>
    <m/>
    <m/>
    <m/>
  </r>
  <r>
    <x v="13"/>
    <m/>
    <m/>
    <x v="20"/>
    <x v="25"/>
    <m/>
    <m/>
    <m/>
    <m/>
    <m/>
  </r>
  <r>
    <x v="13"/>
    <m/>
    <m/>
    <x v="20"/>
    <x v="25"/>
    <m/>
    <m/>
    <m/>
    <m/>
    <m/>
  </r>
  <r>
    <x v="13"/>
    <m/>
    <m/>
    <x v="20"/>
    <x v="25"/>
    <m/>
    <m/>
    <m/>
    <m/>
    <m/>
  </r>
  <r>
    <x v="13"/>
    <m/>
    <m/>
    <x v="20"/>
    <x v="25"/>
    <m/>
    <m/>
    <m/>
    <m/>
    <m/>
  </r>
  <r>
    <x v="13"/>
    <m/>
    <m/>
    <x v="20"/>
    <x v="25"/>
    <m/>
    <m/>
    <m/>
    <m/>
    <m/>
  </r>
  <r>
    <x v="13"/>
    <m/>
    <m/>
    <x v="20"/>
    <x v="25"/>
    <m/>
    <m/>
    <m/>
    <m/>
    <m/>
  </r>
  <r>
    <x v="13"/>
    <m/>
    <m/>
    <x v="20"/>
    <x v="25"/>
    <m/>
    <m/>
    <m/>
    <m/>
    <m/>
  </r>
  <r>
    <x v="13"/>
    <m/>
    <m/>
    <x v="20"/>
    <x v="25"/>
    <m/>
    <m/>
    <m/>
    <m/>
    <m/>
  </r>
  <r>
    <x v="13"/>
    <m/>
    <m/>
    <x v="20"/>
    <x v="25"/>
    <m/>
    <m/>
    <m/>
    <m/>
    <m/>
  </r>
  <r>
    <x v="13"/>
    <m/>
    <m/>
    <x v="20"/>
    <x v="25"/>
    <m/>
    <m/>
    <m/>
    <m/>
    <m/>
  </r>
  <r>
    <x v="13"/>
    <m/>
    <m/>
    <x v="20"/>
    <x v="25"/>
    <m/>
    <m/>
    <m/>
    <m/>
    <m/>
  </r>
  <r>
    <x v="13"/>
    <m/>
    <m/>
    <x v="20"/>
    <x v="25"/>
    <m/>
    <m/>
    <m/>
    <m/>
    <m/>
  </r>
  <r>
    <x v="13"/>
    <m/>
    <m/>
    <x v="20"/>
    <x v="25"/>
    <m/>
    <m/>
    <m/>
    <m/>
    <m/>
  </r>
  <r>
    <x v="13"/>
    <m/>
    <m/>
    <x v="20"/>
    <x v="25"/>
    <m/>
    <m/>
    <m/>
    <m/>
    <m/>
  </r>
  <r>
    <x v="13"/>
    <m/>
    <m/>
    <x v="20"/>
    <x v="25"/>
    <m/>
    <m/>
    <m/>
    <m/>
    <m/>
  </r>
  <r>
    <x v="13"/>
    <m/>
    <m/>
    <x v="20"/>
    <x v="25"/>
    <m/>
    <m/>
    <m/>
    <m/>
    <m/>
  </r>
  <r>
    <x v="13"/>
    <m/>
    <m/>
    <x v="20"/>
    <x v="25"/>
    <m/>
    <m/>
    <m/>
    <m/>
    <m/>
  </r>
  <r>
    <x v="13"/>
    <m/>
    <m/>
    <x v="20"/>
    <x v="25"/>
    <m/>
    <m/>
    <m/>
    <m/>
    <m/>
  </r>
  <r>
    <x v="13"/>
    <m/>
    <m/>
    <x v="20"/>
    <x v="25"/>
    <m/>
    <m/>
    <m/>
    <m/>
    <m/>
  </r>
  <r>
    <x v="13"/>
    <m/>
    <m/>
    <x v="20"/>
    <x v="25"/>
    <m/>
    <m/>
    <m/>
    <m/>
    <m/>
  </r>
  <r>
    <x v="13"/>
    <m/>
    <m/>
    <x v="20"/>
    <x v="25"/>
    <m/>
    <m/>
    <m/>
    <m/>
    <m/>
  </r>
  <r>
    <x v="13"/>
    <m/>
    <m/>
    <x v="20"/>
    <x v="25"/>
    <m/>
    <m/>
    <m/>
    <m/>
    <m/>
  </r>
  <r>
    <x v="13"/>
    <m/>
    <m/>
    <x v="20"/>
    <x v="25"/>
    <m/>
    <m/>
    <m/>
    <m/>
    <m/>
  </r>
  <r>
    <x v="13"/>
    <m/>
    <m/>
    <x v="20"/>
    <x v="25"/>
    <m/>
    <m/>
    <m/>
    <m/>
    <m/>
  </r>
  <r>
    <x v="13"/>
    <m/>
    <m/>
    <x v="20"/>
    <x v="25"/>
    <m/>
    <m/>
    <m/>
    <m/>
    <m/>
  </r>
  <r>
    <x v="13"/>
    <m/>
    <m/>
    <x v="20"/>
    <x v="25"/>
    <m/>
    <m/>
    <m/>
    <m/>
    <m/>
  </r>
  <r>
    <x v="13"/>
    <m/>
    <m/>
    <x v="20"/>
    <x v="25"/>
    <m/>
    <m/>
    <m/>
    <m/>
    <m/>
  </r>
  <r>
    <x v="13"/>
    <m/>
    <m/>
    <x v="20"/>
    <x v="25"/>
    <m/>
    <m/>
    <m/>
    <m/>
    <m/>
  </r>
  <r>
    <x v="13"/>
    <m/>
    <m/>
    <x v="20"/>
    <x v="25"/>
    <m/>
    <m/>
    <m/>
    <m/>
    <m/>
  </r>
  <r>
    <x v="13"/>
    <m/>
    <m/>
    <x v="20"/>
    <x v="25"/>
    <m/>
    <m/>
    <m/>
    <m/>
    <m/>
  </r>
  <r>
    <x v="13"/>
    <m/>
    <m/>
    <x v="20"/>
    <x v="25"/>
    <m/>
    <m/>
    <m/>
    <m/>
    <m/>
  </r>
  <r>
    <x v="13"/>
    <m/>
    <m/>
    <x v="20"/>
    <x v="25"/>
    <m/>
    <m/>
    <m/>
    <m/>
    <m/>
  </r>
  <r>
    <x v="13"/>
    <m/>
    <m/>
    <x v="20"/>
    <x v="25"/>
    <m/>
    <m/>
    <m/>
    <m/>
    <m/>
  </r>
  <r>
    <x v="13"/>
    <m/>
    <m/>
    <x v="20"/>
    <x v="25"/>
    <m/>
    <m/>
    <m/>
    <m/>
    <m/>
  </r>
  <r>
    <x v="13"/>
    <m/>
    <m/>
    <x v="20"/>
    <x v="25"/>
    <m/>
    <m/>
    <m/>
    <m/>
    <m/>
  </r>
  <r>
    <x v="13"/>
    <m/>
    <m/>
    <x v="20"/>
    <x v="25"/>
    <m/>
    <m/>
    <m/>
    <m/>
    <m/>
  </r>
  <r>
    <x v="13"/>
    <m/>
    <m/>
    <x v="20"/>
    <x v="25"/>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A1:H4" firstHeaderRow="0" firstDataRow="1" firstDataCol="4"/>
  <pivotFields count="11">
    <pivotField axis="axisRow" compact="0" outline="0"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compact="0" outline="0" showAll="0" defaultSubtotal="0"/>
    <pivotField compact="0" outline="0" showAll="0" defaultSubtotal="0"/>
    <pivotField axis="axisRow" compact="0" outline="0" showAll="0" defaultSubtotal="0">
      <items count="21">
        <item h="1" x="0"/>
        <item h="1" x="1"/>
        <item h="1" x="2"/>
        <item h="1" x="4"/>
        <item x="5"/>
        <item x="3"/>
        <item h="1" x="6"/>
        <item h="1" x="7"/>
        <item h="1" x="8"/>
        <item h="1" x="9"/>
        <item h="1" x="10"/>
        <item h="1" x="11"/>
        <item h="1" x="12"/>
        <item h="1" x="13"/>
        <item h="1" x="14"/>
        <item h="1" x="15"/>
        <item h="1" x="16"/>
        <item h="1" x="17"/>
        <item h="1" x="18"/>
        <item h="1" x="19"/>
        <item h="1" x="20"/>
      </items>
    </pivotField>
    <pivotField axis="axisRow" compact="0" outline="0" showAll="0" defaultSubtotal="0">
      <items count="26">
        <item x="4"/>
        <item x="22"/>
        <item x="5"/>
        <item x="6"/>
        <item x="7"/>
        <item x="24"/>
        <item x="9"/>
        <item x="11"/>
        <item x="18"/>
        <item x="17"/>
        <item x="16"/>
        <item x="3"/>
        <item x="0"/>
        <item x="13"/>
        <item x="23"/>
        <item x="20"/>
        <item x="21"/>
        <item x="19"/>
        <item x="14"/>
        <item x="15"/>
        <item x="1"/>
        <item x="2"/>
        <item x="8"/>
        <item x="10"/>
        <item x="12"/>
        <item x="25"/>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axis="axisRow" compact="0" outline="0" showAll="0" defaultSubtotal="0">
      <items count="14">
        <item sd="0" x="0"/>
        <item sd="0" x="1"/>
        <item sd="0" x="2"/>
        <item sd="0" x="3"/>
        <item sd="0" x="4"/>
        <item sd="0" x="5"/>
        <item sd="0" x="6"/>
        <item sd="0" x="7"/>
        <item sd="0" x="8"/>
        <item sd="0" x="9"/>
        <item sd="0" x="10"/>
        <item sd="0" x="11"/>
        <item sd="0" x="12"/>
        <item sd="0" x="13"/>
      </items>
    </pivotField>
  </pivotFields>
  <rowFields count="4">
    <field x="3"/>
    <field x="4"/>
    <field x="10"/>
    <field x="0"/>
  </rowFields>
  <rowItems count="3">
    <i>
      <x v="4"/>
      <x v="12"/>
      <x v="8"/>
    </i>
    <i>
      <x v="5"/>
      <x v="12"/>
      <x v="8"/>
    </i>
    <i t="grand">
      <x/>
    </i>
  </rowItems>
  <colFields count="1">
    <field x="-2"/>
  </colFields>
  <colItems count="4">
    <i>
      <x/>
    </i>
    <i i="1">
      <x v="1"/>
    </i>
    <i i="2">
      <x v="2"/>
    </i>
    <i i="3">
      <x v="3"/>
    </i>
  </colItems>
  <dataFields count="4">
    <dataField name=" Content.Opening" fld="5" baseField="3" baseItem="0"/>
    <dataField name="Sum of Content.Purchase" fld="6" baseField="3" baseItem="0"/>
    <dataField name="Sum of Content.Payment" fld="7" baseField="3" baseItem="0"/>
    <dataField name=" Content.Balance" fld="8" baseField="3" baseItem="0"/>
  </dataFields>
  <formats count="31">
    <format dxfId="42">
      <pivotArea type="all" dataOnly="0" outline="0" fieldPosition="0"/>
    </format>
    <format dxfId="41">
      <pivotArea outline="0" collapsedLevelsAreSubtotals="1" fieldPosition="0"/>
    </format>
    <format dxfId="40">
      <pivotArea field="3" type="button" dataOnly="0" labelOnly="1" outline="0" axis="axisRow" fieldPosition="0"/>
    </format>
    <format dxfId="39">
      <pivotArea dataOnly="0" labelOnly="1" fieldPosition="0">
        <references count="1">
          <reference field="3" count="0"/>
        </references>
      </pivotArea>
    </format>
    <format dxfId="38">
      <pivotArea dataOnly="0" labelOnly="1" grandRow="1" outline="0" fieldPosition="0"/>
    </format>
    <format dxfId="37">
      <pivotArea dataOnly="0" labelOnly="1" fieldPosition="0">
        <references count="2">
          <reference field="3" count="1" selected="0">
            <x v="0"/>
          </reference>
          <reference field="4" count="3">
            <x v="12"/>
            <x v="20"/>
            <x v="21"/>
          </reference>
        </references>
      </pivotArea>
    </format>
    <format dxfId="36">
      <pivotArea dataOnly="0" labelOnly="1" fieldPosition="0">
        <references count="2">
          <reference field="3" count="1" selected="0">
            <x v="1"/>
          </reference>
          <reference field="4" count="2">
            <x v="11"/>
            <x v="12"/>
          </reference>
        </references>
      </pivotArea>
    </format>
    <format dxfId="35">
      <pivotArea dataOnly="0" labelOnly="1" fieldPosition="0">
        <references count="2">
          <reference field="3" count="1" selected="0">
            <x v="2"/>
          </reference>
          <reference field="4" count="4">
            <x v="0"/>
            <x v="2"/>
            <x v="3"/>
            <x v="12"/>
          </reference>
        </references>
      </pivotArea>
    </format>
    <format dxfId="34">
      <pivotArea dataOnly="0" labelOnly="1" fieldPosition="0">
        <references count="2">
          <reference field="3" count="1" selected="0">
            <x v="3"/>
          </reference>
          <reference field="4" count="1">
            <x v="12"/>
          </reference>
        </references>
      </pivotArea>
    </format>
    <format dxfId="33">
      <pivotArea dataOnly="0" labelOnly="1" fieldPosition="0">
        <references count="2">
          <reference field="3" count="1" selected="0">
            <x v="4"/>
          </reference>
          <reference field="4" count="1">
            <x v="12"/>
          </reference>
        </references>
      </pivotArea>
    </format>
    <format dxfId="32">
      <pivotArea dataOnly="0" labelOnly="1" fieldPosition="0">
        <references count="2">
          <reference field="3" count="1" selected="0">
            <x v="5"/>
          </reference>
          <reference field="4" count="1">
            <x v="12"/>
          </reference>
        </references>
      </pivotArea>
    </format>
    <format dxfId="31">
      <pivotArea dataOnly="0" labelOnly="1" fieldPosition="0">
        <references count="2">
          <reference field="3" count="1" selected="0">
            <x v="6"/>
          </reference>
          <reference field="4" count="1">
            <x v="12"/>
          </reference>
        </references>
      </pivotArea>
    </format>
    <format dxfId="30">
      <pivotArea dataOnly="0" labelOnly="1" fieldPosition="0">
        <references count="2">
          <reference field="3" count="1" selected="0">
            <x v="7"/>
          </reference>
          <reference field="4" count="2">
            <x v="4"/>
            <x v="12"/>
          </reference>
        </references>
      </pivotArea>
    </format>
    <format dxfId="29">
      <pivotArea dataOnly="0" labelOnly="1" fieldPosition="0">
        <references count="2">
          <reference field="3" count="1" selected="0">
            <x v="8"/>
          </reference>
          <reference field="4" count="8">
            <x v="6"/>
            <x v="7"/>
            <x v="12"/>
            <x v="13"/>
            <x v="18"/>
            <x v="22"/>
            <x v="23"/>
            <x v="24"/>
          </reference>
        </references>
      </pivotArea>
    </format>
    <format dxfId="28">
      <pivotArea dataOnly="0" labelOnly="1" fieldPosition="0">
        <references count="2">
          <reference field="3" count="1" selected="0">
            <x v="9"/>
          </reference>
          <reference field="4" count="1">
            <x v="12"/>
          </reference>
        </references>
      </pivotArea>
    </format>
    <format dxfId="27">
      <pivotArea dataOnly="0" labelOnly="1" fieldPosition="0">
        <references count="2">
          <reference field="3" count="1" selected="0">
            <x v="10"/>
          </reference>
          <reference field="4" count="1">
            <x v="12"/>
          </reference>
        </references>
      </pivotArea>
    </format>
    <format dxfId="26">
      <pivotArea dataOnly="0" labelOnly="1" fieldPosition="0">
        <references count="2">
          <reference field="3" count="1" selected="0">
            <x v="11"/>
          </reference>
          <reference field="4" count="1">
            <x v="12"/>
          </reference>
        </references>
      </pivotArea>
    </format>
    <format dxfId="25">
      <pivotArea dataOnly="0" labelOnly="1" fieldPosition="0">
        <references count="2">
          <reference field="3" count="1" selected="0">
            <x v="12"/>
          </reference>
          <reference field="4" count="2">
            <x v="12"/>
            <x v="19"/>
          </reference>
        </references>
      </pivotArea>
    </format>
    <format dxfId="24">
      <pivotArea dataOnly="0" labelOnly="1" fieldPosition="0">
        <references count="2">
          <reference field="3" count="1" selected="0">
            <x v="13"/>
          </reference>
          <reference field="4" count="2">
            <x v="12"/>
            <x v="20"/>
          </reference>
        </references>
      </pivotArea>
    </format>
    <format dxfId="23">
      <pivotArea dataOnly="0" labelOnly="1" fieldPosition="0">
        <references count="2">
          <reference field="3" count="1" selected="0">
            <x v="14"/>
          </reference>
          <reference field="4" count="6">
            <x v="8"/>
            <x v="9"/>
            <x v="10"/>
            <x v="12"/>
            <x v="17"/>
            <x v="19"/>
          </reference>
        </references>
      </pivotArea>
    </format>
    <format dxfId="22">
      <pivotArea dataOnly="0" labelOnly="1" fieldPosition="0">
        <references count="2">
          <reference field="3" count="1" selected="0">
            <x v="15"/>
          </reference>
          <reference field="4" count="1">
            <x v="12"/>
          </reference>
        </references>
      </pivotArea>
    </format>
    <format dxfId="21">
      <pivotArea dataOnly="0" labelOnly="1" fieldPosition="0">
        <references count="2">
          <reference field="3" count="1" selected="0">
            <x v="16"/>
          </reference>
          <reference field="4" count="1">
            <x v="12"/>
          </reference>
        </references>
      </pivotArea>
    </format>
    <format dxfId="20">
      <pivotArea dataOnly="0" labelOnly="1" fieldPosition="0">
        <references count="2">
          <reference field="3" count="1" selected="0">
            <x v="17"/>
          </reference>
          <reference field="4" count="1">
            <x v="12"/>
          </reference>
        </references>
      </pivotArea>
    </format>
    <format dxfId="19">
      <pivotArea dataOnly="0" labelOnly="1" fieldPosition="0">
        <references count="2">
          <reference field="3" count="1" selected="0">
            <x v="18"/>
          </reference>
          <reference field="4" count="1">
            <x v="12"/>
          </reference>
        </references>
      </pivotArea>
    </format>
    <format dxfId="18">
      <pivotArea dataOnly="0" labelOnly="1" fieldPosition="0">
        <references count="2">
          <reference field="3" count="1" selected="0">
            <x v="19"/>
          </reference>
          <reference field="4" count="7">
            <x v="1"/>
            <x v="5"/>
            <x v="12"/>
            <x v="14"/>
            <x v="15"/>
            <x v="16"/>
            <x v="19"/>
          </reference>
        </references>
      </pivotArea>
    </format>
    <format dxfId="17">
      <pivotArea dataOnly="0" labelOnly="1" fieldPosition="0">
        <references count="2">
          <reference field="3" count="1" selected="0">
            <x v="20"/>
          </reference>
          <reference field="4" count="1">
            <x v="25"/>
          </reference>
        </references>
      </pivotArea>
    </format>
    <format dxfId="16">
      <pivotArea dataOnly="0" labelOnly="1" outline="0" fieldPosition="0">
        <references count="1">
          <reference field="4294967294" count="4">
            <x v="0"/>
            <x v="1"/>
            <x v="2"/>
            <x v="3"/>
          </reference>
        </references>
      </pivotArea>
    </format>
    <format dxfId="15">
      <pivotArea outline="0" collapsedLevelsAreSubtotals="1" fieldPosition="0"/>
    </format>
    <format dxfId="14">
      <pivotArea dataOnly="0" labelOnly="1" outline="0" fieldPosition="0">
        <references count="1">
          <reference field="4294967294" count="4">
            <x v="0"/>
            <x v="1"/>
            <x v="2"/>
            <x v="3"/>
          </reference>
        </references>
      </pivotArea>
    </format>
    <format dxfId="13">
      <pivotArea outline="0" collapsedLevelsAreSubtotals="1" fieldPosition="0"/>
    </format>
    <format dxfId="12">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11">
    <queryTableFields count="10">
      <queryTableField id="1" name="Content.Date" tableColumnId="1"/>
      <queryTableField id="2" name="Content.Vr.No" tableColumnId="2"/>
      <queryTableField id="3" name="Content.A/C Tipe" tableColumnId="3"/>
      <queryTableField id="4" name="Content.Supplier Name" tableColumnId="4"/>
      <queryTableField id="5" name="Content.Item Name" tableColumnId="5"/>
      <queryTableField id="6" name="Content.Opening" tableColumnId="6"/>
      <queryTableField id="7" name="Content.Purchase" tableColumnId="7"/>
      <queryTableField id="8" name="Content.Payment" tableColumnId="8"/>
      <queryTableField id="9" name="Content.Balance" tableColumnId="9"/>
      <queryTableField id="10" name="Content.Total balance" tableColumnId="1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ontent.Supplier_Name" sourceName="Content.Supplier Name">
  <pivotTables>
    <pivotTable tabId="65" name="PivotTable2"/>
  </pivotTables>
  <data>
    <tabular pivotCacheId="1">
      <items count="21">
        <i x="0"/>
        <i x="1"/>
        <i x="2"/>
        <i x="4"/>
        <i x="5" s="1"/>
        <i x="3" s="1"/>
        <i x="6"/>
        <i x="7"/>
        <i x="8"/>
        <i x="9"/>
        <i x="10"/>
        <i x="11"/>
        <i x="12"/>
        <i x="13"/>
        <i x="14"/>
        <i x="15"/>
        <i x="16"/>
        <i x="17"/>
        <i x="18"/>
        <i x="19"/>
        <i x="2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ontent.Supplier Name" cache="Slicer_Content.Supplier_Name" caption="Content.Supplier Name" rowHeight="241300"/>
</slicers>
</file>

<file path=xl/tables/_rels/table2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Armax" displayName="Armax" ref="A1:J4" totalsRowShown="0" headerRowDxfId="270" dataDxfId="269">
  <autoFilter ref="A1:J4"/>
  <tableColumns count="10">
    <tableColumn id="1" name="Date" dataDxfId="268"/>
    <tableColumn id="2" name="Vr.No" dataDxfId="267"/>
    <tableColumn id="3" name="A/C Tipe" dataDxfId="266"/>
    <tableColumn id="4" name="Supplier Name" dataDxfId="265"/>
    <tableColumn id="5" name="Item Name" dataDxfId="264"/>
    <tableColumn id="6" name="Opening" dataDxfId="263" dataCellStyle="Comma"/>
    <tableColumn id="7" name="Purchase" dataDxfId="262" dataCellStyle="Comma"/>
    <tableColumn id="8" name="Payment" dataDxfId="261" dataCellStyle="Comma"/>
    <tableColumn id="9" name="Balance" dataDxfId="260" dataCellStyle="Comma">
      <calculatedColumnFormula>Armax[[#This Row],[Opening]]+Armax[[#This Row],[Purchase]]-Armax[[#This Row],[Payment]]</calculatedColumnFormula>
    </tableColumn>
    <tableColumn id="10" name="Total balance" dataDxfId="259"/>
  </tableColumns>
  <tableStyleInfo name="TableStyleMedium8" showFirstColumn="0" showLastColumn="0" showRowStripes="1" showColumnStripes="0"/>
</table>
</file>

<file path=xl/tables/table2.xml><?xml version="1.0" encoding="utf-8"?>
<table xmlns="http://schemas.openxmlformats.org/spreadsheetml/2006/main" id="2" name="AAM" displayName="AAM" ref="A1:J3" totalsRowShown="0" headerRowDxfId="258" dataDxfId="257">
  <autoFilter ref="A1:J3"/>
  <tableColumns count="10">
    <tableColumn id="1" name="Date" dataDxfId="256"/>
    <tableColumn id="2" name="Vr.No" dataDxfId="255"/>
    <tableColumn id="3" name="A/C Tipe" dataDxfId="254"/>
    <tableColumn id="4" name="Supplier Name" dataDxfId="253"/>
    <tableColumn id="5" name="Item Name" dataDxfId="252"/>
    <tableColumn id="6" name="Opening" dataDxfId="251" dataCellStyle="Comma"/>
    <tableColumn id="7" name="Purchase" dataDxfId="250" dataCellStyle="Comma"/>
    <tableColumn id="8" name="Payment" dataDxfId="249" dataCellStyle="Comma"/>
    <tableColumn id="9" name="Balance" dataDxfId="248" dataCellStyle="Comma">
      <calculatedColumnFormula>AAM[[#This Row],[Opening]]+AAM[[#This Row],[Purchase]]-AAM[[#This Row],[Payment]]</calculatedColumnFormula>
    </tableColumn>
    <tableColumn id="10" name="Total balance" dataDxfId="247"/>
  </tableColumns>
  <tableStyleInfo name="TableStyleMedium8" showFirstColumn="0" showLastColumn="0" showRowStripes="1" showColumnStripes="0"/>
</table>
</file>

<file path=xl/tables/table3.xml><?xml version="1.0" encoding="utf-8"?>
<table xmlns="http://schemas.openxmlformats.org/spreadsheetml/2006/main" id="3" name="AMT" displayName="AMT" ref="A1:J5" totalsRowShown="0" headerRowDxfId="246" dataDxfId="245">
  <autoFilter ref="A1:J5"/>
  <sortState ref="A2:I38">
    <sortCondition ref="A1:A38"/>
  </sortState>
  <tableColumns count="10">
    <tableColumn id="1" name="Date" dataDxfId="244"/>
    <tableColumn id="2" name="Vr.No" dataDxfId="243"/>
    <tableColumn id="3" name="A/C Tipe" dataDxfId="242"/>
    <tableColumn id="4" name="Supplier Name" dataDxfId="241"/>
    <tableColumn id="5" name="Item Name" dataDxfId="240"/>
    <tableColumn id="6" name="Opening" dataDxfId="239" dataCellStyle="Comma"/>
    <tableColumn id="7" name="Purchase" dataDxfId="238" dataCellStyle="Comma"/>
    <tableColumn id="8" name="Payment" dataDxfId="237" dataCellStyle="Comma"/>
    <tableColumn id="9" name="Balance" dataDxfId="236" dataCellStyle="Comma">
      <calculatedColumnFormula>AMT[[#This Row],[Opening]]+AMT[[#This Row],[Purchase]]-AMT[[#This Row],[Payment]]</calculatedColumnFormula>
    </tableColumn>
    <tableColumn id="10" name="Total balance" dataDxfId="235"/>
  </tableColumns>
  <tableStyleInfo name="TableStyleMedium8" showFirstColumn="0" showLastColumn="0" showRowStripes="1" showColumnStripes="0"/>
</table>
</file>

<file path=xl/tables/table4.xml><?xml version="1.0" encoding="utf-8"?>
<table xmlns="http://schemas.openxmlformats.org/spreadsheetml/2006/main" id="6" name="Table6" displayName="Table6" ref="A1:J2" totalsRowShown="0" headerRowDxfId="234" headerRowCellStyle="Comma">
  <autoFilter ref="A1:J2"/>
  <tableColumns count="10">
    <tableColumn id="1" name="Date"/>
    <tableColumn id="2" name="Vr.No"/>
    <tableColumn id="3" name="A/C Tipe"/>
    <tableColumn id="4" name="Supplier Name"/>
    <tableColumn id="5" name="Item Name"/>
    <tableColumn id="6" name="Opening"/>
    <tableColumn id="7" name="Purchase"/>
    <tableColumn id="8" name="Payment"/>
    <tableColumn id="9" name="Balance">
      <calculatedColumnFormula>'GBS Co, LTD Tricycle'!$F2+'GBS Co, LTD Tricycle'!$G2-'GBS Co, LTD Tricycle'!$H2</calculatedColumnFormula>
    </tableColumn>
    <tableColumn id="10" name="Total balance">
      <calculatedColumnFormula>I2</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4" name="DTL" displayName="DTL" ref="A1:J2" totalsRowShown="0" headerRowDxfId="233" dataDxfId="232">
  <autoFilter ref="A1:J2"/>
  <tableColumns count="10">
    <tableColumn id="1" name="Date" dataDxfId="231"/>
    <tableColumn id="2" name="Vr.No" dataDxfId="230"/>
    <tableColumn id="3" name="A/C Tipe" dataDxfId="229"/>
    <tableColumn id="4" name="Supplier Name" dataDxfId="228"/>
    <tableColumn id="5" name="Item Name" dataDxfId="227"/>
    <tableColumn id="6" name="Opening" dataDxfId="226" dataCellStyle="Comma"/>
    <tableColumn id="7" name="Purchase" dataDxfId="225" dataCellStyle="Comma"/>
    <tableColumn id="8" name="Payment" dataDxfId="224" dataCellStyle="Comma"/>
    <tableColumn id="9" name="Balance" dataDxfId="223" dataCellStyle="Comma">
      <calculatedColumnFormula>DTL[[#This Row],[Opening]]+DTL[[#This Row],[Purchase]]-DTL[[#This Row],[Payment]]</calculatedColumnFormula>
    </tableColumn>
    <tableColumn id="10" name="Total balance" dataDxfId="222">
      <calculatedColumnFormula>DTL[Balance]</calculatedColumnFormula>
    </tableColumn>
  </tableColumns>
  <tableStyleInfo name="TableStyleMedium8" showFirstColumn="0" showLastColumn="0" showRowStripes="1" showColumnStripes="0"/>
</table>
</file>

<file path=xl/tables/table6.xml><?xml version="1.0" encoding="utf-8"?>
<table xmlns="http://schemas.openxmlformats.org/spreadsheetml/2006/main" id="5" name="Table5" displayName="Table5" ref="A1:J2" totalsRowShown="0" headerRowDxfId="221" headerRowCellStyle="Comma">
  <autoFilter ref="A1:J2"/>
  <tableColumns count="10">
    <tableColumn id="1" name="Date"/>
    <tableColumn id="2" name="Vr.No"/>
    <tableColumn id="3" name="A/C Tipe"/>
    <tableColumn id="4" name="Supplier Name"/>
    <tableColumn id="5" name="Item Name"/>
    <tableColumn id="6" name="Opening"/>
    <tableColumn id="7" name="Purchase"/>
    <tableColumn id="8" name="Payment"/>
    <tableColumn id="9" name="Balance">
      <calculatedColumnFormula>'GBS Co, LTD Engine'!$F2+'GBS Co, LTD Engine'!$G2-'GBS Co, LTD Engine'!$H2</calculatedColumnFormula>
    </tableColumn>
    <tableColumn id="10" name="Total balance" dataDxfId="220">
      <calculatedColumnFormula>I2</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8" name="GBS_SP" displayName="GBS_SP" ref="A1:J2" totalsRowShown="0" headerRowDxfId="219" dataDxfId="218">
  <autoFilter ref="A1:J2"/>
  <sortState ref="A2:I14">
    <sortCondition ref="A1:A14"/>
  </sortState>
  <tableColumns count="10">
    <tableColumn id="1" name="Date" dataDxfId="217"/>
    <tableColumn id="2" name="Vr.No" dataDxfId="216"/>
    <tableColumn id="3" name="A/C Tipe" dataDxfId="215"/>
    <tableColumn id="4" name="Supplier Name" dataDxfId="214"/>
    <tableColumn id="5" name="Item Name" dataDxfId="213"/>
    <tableColumn id="6" name="Opening" dataDxfId="212" dataCellStyle="Comma"/>
    <tableColumn id="7" name="Purchase" dataDxfId="211" dataCellStyle="Comma"/>
    <tableColumn id="8" name="Payment" dataDxfId="210" dataCellStyle="Comma"/>
    <tableColumn id="9" name="Balance" dataDxfId="209" dataCellStyle="Comma">
      <calculatedColumnFormula>GBS_SP[[#This Row],[Opening]]+GBS_SP[[#This Row],[Purchase]]-GBS_SP[[#This Row],[Payment]]</calculatedColumnFormula>
    </tableColumn>
    <tableColumn id="10" name="Total balance" dataDxfId="208">
      <calculatedColumnFormula>GBS_SP[Balance]</calculatedColumnFormula>
    </tableColumn>
  </tableColumns>
  <tableStyleInfo name="TableStyleMedium8" showFirstColumn="0" showLastColumn="0" showRowStripes="1" showColumnStripes="0"/>
</table>
</file>

<file path=xl/tables/table8.xml><?xml version="1.0" encoding="utf-8"?>
<table xmlns="http://schemas.openxmlformats.org/spreadsheetml/2006/main" id="9" name="KWH" displayName="KWH" ref="A1:J3" totalsRowShown="0" headerRowDxfId="207" dataDxfId="206">
  <autoFilter ref="A1:J3"/>
  <tableColumns count="10">
    <tableColumn id="1" name="Date" dataDxfId="205"/>
    <tableColumn id="2" name="Vr.No" dataDxfId="204"/>
    <tableColumn id="3" name="A/C Tipe" dataDxfId="203"/>
    <tableColumn id="4" name="Supplier Name" dataDxfId="202"/>
    <tableColumn id="5" name="Item Name" dataDxfId="201"/>
    <tableColumn id="6" name="Opening" dataDxfId="200" dataCellStyle="Comma"/>
    <tableColumn id="7" name="Purchase" dataDxfId="199" dataCellStyle="Comma"/>
    <tableColumn id="8" name="Payment" dataDxfId="198" dataCellStyle="Comma"/>
    <tableColumn id="9" name="Balance" dataDxfId="197" dataCellStyle="Comma">
      <calculatedColumnFormula>KWH[[#This Row],[Opening]]+KWH[[#This Row],[Purchase]]-KWH[[#This Row],[Payment]]</calculatedColumnFormula>
    </tableColumn>
    <tableColumn id="10" name="Total balance" dataDxfId="196"/>
  </tableColumns>
  <tableStyleInfo name="TableStyleMedium8" showFirstColumn="0" showLastColumn="0" showRowStripes="1" showColumnStripes="0"/>
</table>
</file>

<file path=xl/tables/table9.xml><?xml version="1.0" encoding="utf-8"?>
<table xmlns="http://schemas.openxmlformats.org/spreadsheetml/2006/main" id="10" name="KYINNLOON" displayName="KYINNLOON" ref="A1:J9" totalsRowShown="0" headerRowDxfId="195" dataDxfId="194">
  <autoFilter ref="A1:J9"/>
  <tableColumns count="10">
    <tableColumn id="1" name="Date" dataDxfId="193"/>
    <tableColumn id="2" name="Vr.No" dataDxfId="192"/>
    <tableColumn id="3" name="A/C Tipe" dataDxfId="191"/>
    <tableColumn id="4" name="Supplier Name" dataDxfId="190"/>
    <tableColumn id="5" name="Item Name" dataDxfId="189"/>
    <tableColumn id="6" name="Opening" dataDxfId="188" dataCellStyle="Comma"/>
    <tableColumn id="7" name="Purchase" dataDxfId="187" dataCellStyle="Comma"/>
    <tableColumn id="8" name="Payment" dataDxfId="186" dataCellStyle="Comma"/>
    <tableColumn id="9" name="Balance" dataDxfId="185" dataCellStyle="Comma">
      <calculatedColumnFormula>KYINNLOON[[#This Row],[Opening]]+KYINNLOON[[#This Row],[Purchase]]-KYINNLOON[[#This Row],[Payment]]</calculatedColumnFormula>
    </tableColumn>
    <tableColumn id="10" name="Total balance" dataDxfId="184"/>
  </tableColumns>
  <tableStyleInfo name="TableStyleMedium8" showFirstColumn="0" showLastColumn="0" showRowStripes="1" showColumnStripes="0"/>
</table>
</file>

<file path=xl/tables/table10.xml><?xml version="1.0" encoding="utf-8"?>
<table xmlns="http://schemas.openxmlformats.org/spreadsheetml/2006/main" id="11" name="MOB" displayName="MOB" ref="A1:J2" totalsRowShown="0" headerRowDxfId="183" dataDxfId="182">
  <autoFilter ref="A1:J2"/>
  <tableColumns count="10">
    <tableColumn id="1" name="Date" dataDxfId="181"/>
    <tableColumn id="2" name="Vr.No" dataDxfId="180"/>
    <tableColumn id="3" name="A/C Tipe" dataDxfId="179"/>
    <tableColumn id="4" name="Supplier Name" dataDxfId="178"/>
    <tableColumn id="5" name="Item Name" dataDxfId="177"/>
    <tableColumn id="6" name="Opening" dataDxfId="176" dataCellStyle="Comma"/>
    <tableColumn id="7" name="Purchase" dataDxfId="175" dataCellStyle="Comma"/>
    <tableColumn id="8" name="Payment" dataDxfId="174" dataCellStyle="Comma"/>
    <tableColumn id="9" name="Balance" dataDxfId="173" dataCellStyle="Comma">
      <calculatedColumnFormula>MOB[[#This Row],[Opening]]+MOB[[#This Row],[Purchase]]-MOB[[#This Row],[Payment]]</calculatedColumnFormula>
    </tableColumn>
    <tableColumn id="10" name="Total balance" dataDxfId="172">
      <calculatedColumnFormula>MOB[Balance]</calculatedColumnFormula>
    </tableColumn>
  </tableColumns>
  <tableStyleInfo name="TableStyleMedium8" showFirstColumn="0" showLastColumn="0" showRowStripes="1" showColumnStripes="0"/>
</table>
</file>

<file path=xl/tables/table11.xml><?xml version="1.0" encoding="utf-8"?>
<table xmlns="http://schemas.openxmlformats.org/spreadsheetml/2006/main" id="12" name="MAYWD" displayName="MAYWD" ref="A1:J2" totalsRowShown="0" headerRowDxfId="171" dataDxfId="170">
  <autoFilter ref="A1:J2"/>
  <sortState ref="A2:I7">
    <sortCondition ref="A1:A7"/>
  </sortState>
  <tableColumns count="10">
    <tableColumn id="1" name="Date" dataDxfId="169"/>
    <tableColumn id="2" name="Vr.No" dataDxfId="168"/>
    <tableColumn id="3" name="A/C Tipe" dataDxfId="167"/>
    <tableColumn id="4" name="Supplier Name" dataDxfId="166"/>
    <tableColumn id="5" name="Item Name" dataDxfId="165"/>
    <tableColumn id="6" name="Opening" dataDxfId="164" dataCellStyle="Comma"/>
    <tableColumn id="7" name="Purchase" dataDxfId="163" dataCellStyle="Comma"/>
    <tableColumn id="8" name="Payment" dataDxfId="162" dataCellStyle="Comma"/>
    <tableColumn id="9" name="Balance" dataDxfId="161" dataCellStyle="Comma">
      <calculatedColumnFormula>MAYWD[[#This Row],[Opening]]+MAYWD[[#This Row],[Purchase]]-MAYWD[[#This Row],[Payment]]</calculatedColumnFormula>
    </tableColumn>
    <tableColumn id="10" name="Total balance" dataDxfId="160">
      <calculatedColumnFormula>MAYWD[Balance]</calculatedColumnFormula>
    </tableColumn>
  </tableColumns>
  <tableStyleInfo name="TableStyleMedium8" showFirstColumn="0" showLastColumn="0" showRowStripes="1" showColumnStripes="0"/>
</table>
</file>

<file path=xl/tables/table12.xml><?xml version="1.0" encoding="utf-8"?>
<table xmlns="http://schemas.openxmlformats.org/spreadsheetml/2006/main" id="13" name="MDYSP" displayName="MDYSP" ref="A1:J2" totalsRowShown="0" headerRowDxfId="159" dataDxfId="158">
  <autoFilter ref="A1:J2"/>
  <tableColumns count="10">
    <tableColumn id="1" name="Date" dataDxfId="157"/>
    <tableColumn id="2" name="Vr.No" dataDxfId="156"/>
    <tableColumn id="3" name="A/C Tipe" dataDxfId="155"/>
    <tableColumn id="4" name="Supplier Name" dataDxfId="154"/>
    <tableColumn id="5" name="Item Name" dataDxfId="153"/>
    <tableColumn id="6" name="Opening" dataDxfId="152" dataCellStyle="Comma"/>
    <tableColumn id="7" name="Purchase" dataDxfId="151" dataCellStyle="Comma"/>
    <tableColumn id="8" name="Payment" dataDxfId="150" dataCellStyle="Comma"/>
    <tableColumn id="9" name="Balance" dataDxfId="149" dataCellStyle="Comma">
      <calculatedColumnFormula>MDYSP[[#This Row],[Opening]]+MDYSP[[#This Row],[Purchase]]-MDYSP[[#This Row],[Payment]]</calculatedColumnFormula>
    </tableColumn>
    <tableColumn id="10" name="Total balance" dataDxfId="148">
      <calculatedColumnFormula>MDYSP[Balance]</calculatedColumnFormula>
    </tableColumn>
  </tableColumns>
  <tableStyleInfo name="TableStyleMedium8" showFirstColumn="0" showLastColumn="0" showRowStripes="1" showColumnStripes="0"/>
</table>
</file>

<file path=xl/tables/table13.xml><?xml version="1.0" encoding="utf-8"?>
<table xmlns="http://schemas.openxmlformats.org/spreadsheetml/2006/main" id="14" name="MTAY" displayName="MTAY" ref="A1:J3" totalsRowShown="0" headerRowDxfId="147" dataDxfId="146">
  <autoFilter ref="A1:J3"/>
  <sortState ref="A2:I9">
    <sortCondition ref="A1:A9"/>
  </sortState>
  <tableColumns count="10">
    <tableColumn id="1" name="Date" dataDxfId="145"/>
    <tableColumn id="2" name="Vr.No" dataDxfId="144"/>
    <tableColumn id="3" name="A/C Tipe" dataDxfId="143"/>
    <tableColumn id="4" name="Supplier Name" dataDxfId="142"/>
    <tableColumn id="5" name="Item Name" dataDxfId="141"/>
    <tableColumn id="6" name="Opening" dataDxfId="140" dataCellStyle="Comma"/>
    <tableColumn id="7" name="Purchase" dataDxfId="139" dataCellStyle="Comma"/>
    <tableColumn id="8" name="Payment" dataDxfId="138" dataCellStyle="Comma"/>
    <tableColumn id="9" name="Balance" dataDxfId="137" dataCellStyle="Comma">
      <calculatedColumnFormula>MTAY[[#This Row],[Opening]]+MTAY[[#This Row],[Purchase]]-MTAY[[#This Row],[Payment]]</calculatedColumnFormula>
    </tableColumn>
    <tableColumn id="10" name="Total balance" dataDxfId="136" dataCellStyle="Comma"/>
  </tableColumns>
  <tableStyleInfo name="TableStyleMedium8" showFirstColumn="0" showLastColumn="0" showRowStripes="1" showColumnStripes="0"/>
</table>
</file>

<file path=xl/tables/table14.xml><?xml version="1.0" encoding="utf-8"?>
<table xmlns="http://schemas.openxmlformats.org/spreadsheetml/2006/main" id="15" name="NASA" displayName="NASA" ref="A1:J3" totalsRowShown="0" headerRowDxfId="135" dataDxfId="134">
  <autoFilter ref="A1:J3"/>
  <sortState ref="A2:I3">
    <sortCondition ref="A1:A3"/>
  </sortState>
  <tableColumns count="10">
    <tableColumn id="1" name="Date" dataDxfId="133"/>
    <tableColumn id="2" name="Vr.No" dataDxfId="132"/>
    <tableColumn id="3" name="A/C Tipe" dataDxfId="131"/>
    <tableColumn id="4" name="Supplier Name" dataDxfId="130"/>
    <tableColumn id="5" name="Item Name" dataDxfId="129"/>
    <tableColumn id="6" name="Opening" dataDxfId="128" dataCellStyle="Comma"/>
    <tableColumn id="7" name="Purchase" dataDxfId="127" dataCellStyle="Comma"/>
    <tableColumn id="8" name="Payment" dataDxfId="126" dataCellStyle="Comma"/>
    <tableColumn id="9" name="Balance" dataDxfId="125" dataCellStyle="Comma">
      <calculatedColumnFormula>NASA[[#This Row],[Opening]]+NASA[[#This Row],[Purchase]]-NASA[[#This Row],[Payment]]</calculatedColumnFormula>
    </tableColumn>
    <tableColumn id="10" name="Total balance" dataDxfId="124" dataCellStyle="Comma"/>
  </tableColumns>
  <tableStyleInfo name="TableStyleMedium8" showFirstColumn="0" showLastColumn="0" showRowStripes="1" showColumnStripes="0"/>
</table>
</file>

<file path=xl/tables/table15.xml><?xml version="1.0" encoding="utf-8"?>
<table xmlns="http://schemas.openxmlformats.org/spreadsheetml/2006/main" id="16" name="STL" displayName="STL" ref="A1:J8" totalsRowShown="0" headerRowDxfId="123" dataDxfId="122">
  <autoFilter ref="A1:J8"/>
  <sortState ref="A2:I10">
    <sortCondition ref="A1:A10"/>
  </sortState>
  <tableColumns count="10">
    <tableColumn id="1" name="Date" dataDxfId="121"/>
    <tableColumn id="2" name="Vr.No" dataDxfId="120"/>
    <tableColumn id="3" name="A/C Tipe" dataDxfId="119"/>
    <tableColumn id="4" name="Supplier Name" dataDxfId="118"/>
    <tableColumn id="5" name="Item Name" dataDxfId="117"/>
    <tableColumn id="6" name="Opening" dataDxfId="116" dataCellStyle="Comma"/>
    <tableColumn id="7" name="Purchase" dataDxfId="115" dataCellStyle="Comma"/>
    <tableColumn id="8" name="Payment" dataDxfId="114" dataCellStyle="Comma"/>
    <tableColumn id="9" name="Balance" dataDxfId="113" dataCellStyle="Comma">
      <calculatedColumnFormula>STL[[#This Row],[Opening]]+STL[[#This Row],[Purchase]]-STL[[#This Row],[Payment]]</calculatedColumnFormula>
    </tableColumn>
    <tableColumn id="10" name="Total balance" dataDxfId="112"/>
  </tableColumns>
  <tableStyleInfo name="TableStyleMedium8" showFirstColumn="0" showLastColumn="0" showRowStripes="1" showColumnStripes="0"/>
</table>
</file>

<file path=xl/tables/table16.xml><?xml version="1.0" encoding="utf-8"?>
<table xmlns="http://schemas.openxmlformats.org/spreadsheetml/2006/main" id="17" name="SYS" displayName="SYS" ref="A1:J2" totalsRowShown="0" headerRowDxfId="111" dataDxfId="110">
  <autoFilter ref="A1:J2"/>
  <tableColumns count="10">
    <tableColumn id="1" name="Date" dataDxfId="109"/>
    <tableColumn id="2" name="Vr.No" dataDxfId="108"/>
    <tableColumn id="3" name="A/C Tipe" dataDxfId="107"/>
    <tableColumn id="4" name="Supplier Name" dataDxfId="106"/>
    <tableColumn id="5" name="Item Name" dataDxfId="105"/>
    <tableColumn id="6" name="Opening" dataDxfId="104" dataCellStyle="Comma"/>
    <tableColumn id="7" name="Purchase" dataDxfId="103" dataCellStyle="Comma"/>
    <tableColumn id="8" name="Payment" dataDxfId="102" dataCellStyle="Comma"/>
    <tableColumn id="9" name="Balance" dataDxfId="101" dataCellStyle="Comma">
      <calculatedColumnFormula>SYS[[#This Row],[Opening]]+SYS[[#This Row],[Purchase]]-SYS[[#This Row],[Payment]]</calculatedColumnFormula>
    </tableColumn>
    <tableColumn id="10" name="Total balance" dataDxfId="100">
      <calculatedColumnFormula>SYS[Balance]</calculatedColumnFormula>
    </tableColumn>
  </tableColumns>
  <tableStyleInfo name="TableStyleMedium8" showFirstColumn="0" showLastColumn="0" showRowStripes="1" showColumnStripes="0"/>
</table>
</file>

<file path=xl/tables/table17.xml><?xml version="1.0" encoding="utf-8"?>
<table xmlns="http://schemas.openxmlformats.org/spreadsheetml/2006/main" id="18" name="SUPER" displayName="SUPER" ref="A1:J2" totalsRowShown="0" headerRowDxfId="99" dataDxfId="98">
  <autoFilter ref="A1:J2"/>
  <tableColumns count="10">
    <tableColumn id="1" name="Date" dataDxfId="97"/>
    <tableColumn id="2" name="Vr.No" dataDxfId="96"/>
    <tableColumn id="3" name="A/C Tipe" dataDxfId="95"/>
    <tableColumn id="4" name="Supplier Name" dataDxfId="94"/>
    <tableColumn id="5" name="Item Name" dataDxfId="93"/>
    <tableColumn id="6" name="Opening" dataDxfId="92" dataCellStyle="Comma"/>
    <tableColumn id="7" name="Purchase" dataDxfId="91" dataCellStyle="Comma"/>
    <tableColumn id="8" name="Payment" dataDxfId="90" dataCellStyle="Comma"/>
    <tableColumn id="9" name="Balance" dataDxfId="89" dataCellStyle="Comma">
      <calculatedColumnFormula>SUPER[[#This Row],[Opening]]+SUPER[[#This Row],[Purchase]]-SUPER[[#This Row],[Payment]]</calculatedColumnFormula>
    </tableColumn>
    <tableColumn id="10" name="Total balance" dataDxfId="88">
      <calculatedColumnFormula>SUPER[Balance]</calculatedColumnFormula>
    </tableColumn>
  </tableColumns>
  <tableStyleInfo name="TableStyleMedium8" showFirstColumn="0" showLastColumn="0" showRowStripes="1" showColumnStripes="0"/>
</table>
</file>

<file path=xl/tables/table18.xml><?xml version="1.0" encoding="utf-8"?>
<table xmlns="http://schemas.openxmlformats.org/spreadsheetml/2006/main" id="19" name="TSLW" displayName="TSLW" ref="A1:J2" totalsRowShown="0" headerRowDxfId="87" dataDxfId="86">
  <autoFilter ref="A1:J2"/>
  <tableColumns count="10">
    <tableColumn id="1" name="Date" dataDxfId="85"/>
    <tableColumn id="2" name="Vr.No" dataDxfId="84"/>
    <tableColumn id="3" name="A/C Tipe" dataDxfId="83"/>
    <tableColumn id="4" name="Supplier Name" dataDxfId="82"/>
    <tableColumn id="5" name="Item Name" dataDxfId="81"/>
    <tableColumn id="6" name="Opening" dataDxfId="80" dataCellStyle="Comma"/>
    <tableColumn id="7" name="Purchase" dataDxfId="79" dataCellStyle="Comma"/>
    <tableColumn id="8" name="Payment" dataDxfId="78" dataCellStyle="Comma"/>
    <tableColumn id="9" name="Balance" dataDxfId="77" dataCellStyle="Comma">
      <calculatedColumnFormula>TSLW[[#This Row],[Opening]]+TSLW[[#This Row],[Purchase]]-TSLW[[#This Row],[Payment]]</calculatedColumnFormula>
    </tableColumn>
    <tableColumn id="10" name="Total balance" dataDxfId="76">
      <calculatedColumnFormula>TSLW[Balance]</calculatedColumnFormula>
    </tableColumn>
  </tableColumns>
  <tableStyleInfo name="TableStyleMedium8" showFirstColumn="0" showLastColumn="0" showRowStripes="1" showColumnStripes="0"/>
</table>
</file>

<file path=xl/tables/table19.xml><?xml version="1.0" encoding="utf-8"?>
<table xmlns="http://schemas.openxmlformats.org/spreadsheetml/2006/main" id="20" name="UMG" displayName="UMG" ref="A1:J2" totalsRowShown="0" headerRowDxfId="75" dataDxfId="74">
  <autoFilter ref="A1:J2"/>
  <tableColumns count="10">
    <tableColumn id="1" name="Date" dataDxfId="73"/>
    <tableColumn id="2" name="Vr.No" dataDxfId="72"/>
    <tableColumn id="3" name="A/C Tipe" dataDxfId="71"/>
    <tableColumn id="4" name="Supplier Name" dataDxfId="70"/>
    <tableColumn id="5" name="Item Name" dataDxfId="69"/>
    <tableColumn id="6" name="Opening" dataDxfId="68" dataCellStyle="Comma"/>
    <tableColumn id="7" name="Purchase" dataDxfId="67" dataCellStyle="Comma"/>
    <tableColumn id="8" name="Payment" dataDxfId="66" dataCellStyle="Comma"/>
    <tableColumn id="9" name="Balance" dataDxfId="65" dataCellStyle="Comma">
      <calculatedColumnFormula>UMG[[#This Row],[Opening]]+UMG[[#This Row],[Purchase]]-UMG[[#This Row],[Payment]]</calculatedColumnFormula>
    </tableColumn>
    <tableColumn id="10" name="Total balance" dataDxfId="64">
      <calculatedColumnFormula>UMG[Balance]</calculatedColumnFormula>
    </tableColumn>
  </tableColumns>
  <tableStyleInfo name="TableStyleMedium8" showFirstColumn="0" showLastColumn="0" showRowStripes="1" showColumnStripes="0"/>
</table>
</file>

<file path=xl/tables/table20.xml><?xml version="1.0" encoding="utf-8"?>
<table xmlns="http://schemas.openxmlformats.org/spreadsheetml/2006/main" id="21" name="ZAN" displayName="ZAN" ref="A1:J8" totalsRowShown="0" headerRowDxfId="63" dataDxfId="62">
  <autoFilter ref="A1:J8"/>
  <sortState ref="A2:I6">
    <sortCondition ref="A1:A6"/>
  </sortState>
  <tableColumns count="10">
    <tableColumn id="1" name="Date" dataDxfId="61"/>
    <tableColumn id="2" name="Vr.No" dataDxfId="60"/>
    <tableColumn id="3" name="A/C Tipe" dataDxfId="59"/>
    <tableColumn id="4" name="Supplier Name" dataDxfId="58"/>
    <tableColumn id="5" name="Item Name" dataDxfId="57"/>
    <tableColumn id="6" name="Opening" dataDxfId="56" dataCellStyle="Comma"/>
    <tableColumn id="7" name="Purchase" dataDxfId="55" dataCellStyle="Comma"/>
    <tableColumn id="8" name="Payment" dataDxfId="54" dataCellStyle="Comma"/>
    <tableColumn id="9" name="Balance" dataDxfId="53" dataCellStyle="Comma">
      <calculatedColumnFormula>ZAN[[#This Row],[Opening]]+ZAN[[#This Row],[Purchase]]-ZAN[[#This Row],[Payment]]</calculatedColumnFormula>
    </tableColumn>
    <tableColumn id="10" name="Total balance" dataDxfId="52"/>
  </tableColumns>
  <tableStyleInfo name="TableStyleMedium8" showFirstColumn="0" showLastColumn="0" showRowStripes="1" showColumnStripes="0"/>
</table>
</file>

<file path=xl/tables/table21.xml><?xml version="1.0" encoding="utf-8"?>
<table xmlns="http://schemas.openxmlformats.org/spreadsheetml/2006/main" id="24" name="ZAN_25" displayName="ZAN_25" ref="A1:F21" totalsRowShown="0" headerRowDxfId="51" dataDxfId="50" tableBorderDxfId="49">
  <tableColumns count="6">
    <tableColumn id="10" name="No" dataDxfId="48"/>
    <tableColumn id="4" name="Supplier Name" dataDxfId="47"/>
    <tableColumn id="6" name="Opening" dataDxfId="46" dataCellStyle="Comma">
      <calculatedColumnFormula>SUMIF('Data Combine'!$D:$D,$B2,'Data Combine'!F:F)</calculatedColumnFormula>
    </tableColumn>
    <tableColumn id="7" name="Purchase" dataDxfId="45" dataCellStyle="Comma">
      <calculatedColumnFormula>SUMIF('Data Combine'!$D:$D,$B2,'Data Combine'!G:G)</calculatedColumnFormula>
    </tableColumn>
    <tableColumn id="8" name="Payment" dataDxfId="44" dataCellStyle="Comma">
      <calculatedColumnFormula>SUMIF('Data Combine'!$D:$D,$B2,'Data Combine'!H:H)</calculatedColumnFormula>
    </tableColumn>
    <tableColumn id="9" name="Balance" dataDxfId="43" dataCellStyle="Comma">
      <calculatedColumnFormula>SUMIF('Data Combine'!$D:$D,$B2,'Data Combine'!I:I)</calculatedColumnFormula>
    </tableColumn>
  </tableColumns>
  <tableStyleInfo name="TableStyleMedium1" showFirstColumn="0" showLastColumn="0" showRowStripes="1" showColumnStripes="0"/>
</table>
</file>

<file path=xl/tables/table22.xml><?xml version="1.0" encoding="utf-8"?>
<table xmlns="http://schemas.openxmlformats.org/spreadsheetml/2006/main" id="7" name="Data_Combine" displayName="Data_Combine" ref="A1:J445" tableType="queryTable" totalsRowShown="0" headerRowDxfId="11" dataDxfId="10">
  <autoFilter ref="A1:J445">
    <filterColumn colId="3">
      <filters>
        <filter val="GBS Co, LTD Engine"/>
        <filter val="GBS Co, LTD Tricycle"/>
      </filters>
    </filterColumn>
  </autoFilter>
  <tableColumns count="10">
    <tableColumn id="1" uniqueName="1" name="Content.Date" queryTableFieldId="1" dataDxfId="9"/>
    <tableColumn id="2" uniqueName="2" name="Content.Vr.No" queryTableFieldId="2" dataDxfId="8"/>
    <tableColumn id="3" uniqueName="3" name="Content.A/C Tipe" queryTableFieldId="3" dataDxfId="7"/>
    <tableColumn id="4" uniqueName="4" name="Content.Supplier Name" queryTableFieldId="4" dataDxfId="6"/>
    <tableColumn id="5" uniqueName="5" name="Content.Item Name" queryTableFieldId="5" dataDxfId="5"/>
    <tableColumn id="6" uniqueName="6" name="Content.Opening" queryTableFieldId="6" dataDxfId="4"/>
    <tableColumn id="7" uniqueName="7" name="Content.Purchase" queryTableFieldId="7" dataDxfId="3"/>
    <tableColumn id="8" uniqueName="8" name="Content.Payment" queryTableFieldId="8" dataDxfId="2"/>
    <tableColumn id="9" uniqueName="9" name="Content.Balance" queryTableFieldId="9" dataDxfId="1"/>
    <tableColumn id="10" uniqueName="10" name="Content.Total balance" queryTableFieldId="10"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vmlDrawing" Target="../drawings/vmlDrawing1.vml"/><Relationship Id="rId1" Type="http://schemas.openxmlformats.org/officeDocument/2006/relationships/printerSettings" Target="../printerSettings/printerSettings11.bin"/><Relationship Id="rId4" Type="http://schemas.openxmlformats.org/officeDocument/2006/relationships/comments" Target="../comments1.xml"/></Relationships>
</file>

<file path=xl/worksheets/_rels/sheet2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H28"/>
  <sheetViews>
    <sheetView topLeftCell="A22" workbookViewId="0">
      <selection activeCell="B29" sqref="B29"/>
    </sheetView>
  </sheetViews>
  <sheetFormatPr defaultColWidth="9.28515625" defaultRowHeight="21.75" x14ac:dyDescent="0.55000000000000004"/>
  <cols>
    <col min="1" max="1" width="9.28515625" style="1"/>
    <col min="2" max="2" width="15.5703125" style="7" bestFit="1" customWidth="1"/>
    <col min="3" max="3" width="26.28515625" style="1" customWidth="1"/>
    <col min="4" max="5" width="9.28515625" style="1"/>
    <col min="6" max="6" width="23.5703125" style="1" bestFit="1" customWidth="1"/>
    <col min="7" max="16384" width="9.28515625" style="1"/>
  </cols>
  <sheetData>
    <row r="2" spans="2:8" x14ac:dyDescent="0.55000000000000004">
      <c r="B2" s="2" t="s">
        <v>2</v>
      </c>
      <c r="C2" s="2" t="s">
        <v>3</v>
      </c>
      <c r="F2" s="2" t="s">
        <v>10</v>
      </c>
      <c r="H2" s="10" t="s">
        <v>70</v>
      </c>
    </row>
    <row r="3" spans="2:8" x14ac:dyDescent="0.55000000000000004">
      <c r="B3" s="3" t="s">
        <v>11</v>
      </c>
      <c r="C3" s="4" t="s">
        <v>12</v>
      </c>
      <c r="F3" s="5" t="s">
        <v>13</v>
      </c>
      <c r="H3" s="6" t="s">
        <v>5</v>
      </c>
    </row>
    <row r="4" spans="2:8" x14ac:dyDescent="0.55000000000000004">
      <c r="B4" s="3" t="s">
        <v>14</v>
      </c>
      <c r="C4" s="4" t="s">
        <v>15</v>
      </c>
      <c r="F4" s="5" t="s">
        <v>16</v>
      </c>
      <c r="H4" s="6" t="s">
        <v>6</v>
      </c>
    </row>
    <row r="5" spans="2:8" x14ac:dyDescent="0.55000000000000004">
      <c r="B5" s="3" t="s">
        <v>17</v>
      </c>
      <c r="C5" s="4" t="s">
        <v>18</v>
      </c>
      <c r="F5" s="5" t="s">
        <v>19</v>
      </c>
      <c r="H5" s="6" t="s">
        <v>7</v>
      </c>
    </row>
    <row r="6" spans="2:8" x14ac:dyDescent="0.55000000000000004">
      <c r="B6" s="3" t="s">
        <v>20</v>
      </c>
      <c r="C6" s="4" t="s">
        <v>21</v>
      </c>
      <c r="F6" s="5" t="s">
        <v>22</v>
      </c>
    </row>
    <row r="7" spans="2:8" x14ac:dyDescent="0.55000000000000004">
      <c r="B7" s="3" t="s">
        <v>23</v>
      </c>
      <c r="C7" s="4" t="s">
        <v>68</v>
      </c>
      <c r="F7" s="5" t="s">
        <v>24</v>
      </c>
    </row>
    <row r="8" spans="2:8" x14ac:dyDescent="0.55000000000000004">
      <c r="B8" s="3" t="s">
        <v>25</v>
      </c>
      <c r="C8" s="4" t="s">
        <v>26</v>
      </c>
      <c r="F8" s="5" t="s">
        <v>27</v>
      </c>
    </row>
    <row r="9" spans="2:8" x14ac:dyDescent="0.55000000000000004">
      <c r="B9" s="3" t="s">
        <v>28</v>
      </c>
      <c r="C9" s="4" t="s">
        <v>29</v>
      </c>
      <c r="F9" s="5" t="s">
        <v>30</v>
      </c>
    </row>
    <row r="10" spans="2:8" x14ac:dyDescent="0.55000000000000004">
      <c r="B10" s="3" t="s">
        <v>31</v>
      </c>
      <c r="C10" s="4" t="s">
        <v>32</v>
      </c>
      <c r="F10" s="5" t="s">
        <v>33</v>
      </c>
    </row>
    <row r="11" spans="2:8" x14ac:dyDescent="0.55000000000000004">
      <c r="B11" s="3" t="s">
        <v>34</v>
      </c>
      <c r="C11" s="4" t="s">
        <v>35</v>
      </c>
      <c r="F11" s="5" t="s">
        <v>36</v>
      </c>
    </row>
    <row r="12" spans="2:8" x14ac:dyDescent="0.55000000000000004">
      <c r="B12" s="3" t="s">
        <v>37</v>
      </c>
      <c r="C12" s="4" t="s">
        <v>38</v>
      </c>
    </row>
    <row r="13" spans="2:8" x14ac:dyDescent="0.55000000000000004">
      <c r="B13" s="3" t="s">
        <v>39</v>
      </c>
      <c r="C13" s="4" t="s">
        <v>40</v>
      </c>
    </row>
    <row r="14" spans="2:8" x14ac:dyDescent="0.55000000000000004">
      <c r="B14" s="3" t="s">
        <v>41</v>
      </c>
      <c r="C14" s="4" t="s">
        <v>42</v>
      </c>
    </row>
    <row r="15" spans="2:8" x14ac:dyDescent="0.55000000000000004">
      <c r="B15" s="3" t="s">
        <v>43</v>
      </c>
      <c r="C15" s="4" t="s">
        <v>44</v>
      </c>
    </row>
    <row r="16" spans="2:8" x14ac:dyDescent="0.55000000000000004">
      <c r="B16" s="3" t="s">
        <v>45</v>
      </c>
      <c r="C16" s="4" t="s">
        <v>46</v>
      </c>
    </row>
    <row r="17" spans="2:3" x14ac:dyDescent="0.55000000000000004">
      <c r="B17" s="3" t="s">
        <v>47</v>
      </c>
      <c r="C17" s="4" t="s">
        <v>48</v>
      </c>
    </row>
    <row r="18" spans="2:3" x14ac:dyDescent="0.55000000000000004">
      <c r="B18" s="3" t="s">
        <v>49</v>
      </c>
      <c r="C18" s="4" t="s">
        <v>50</v>
      </c>
    </row>
    <row r="19" spans="2:3" x14ac:dyDescent="0.55000000000000004">
      <c r="B19" s="3" t="s">
        <v>51</v>
      </c>
      <c r="C19" s="4" t="s">
        <v>52</v>
      </c>
    </row>
    <row r="20" spans="2:3" x14ac:dyDescent="0.55000000000000004">
      <c r="B20" s="3" t="s">
        <v>53</v>
      </c>
      <c r="C20" s="4" t="s">
        <v>54</v>
      </c>
    </row>
    <row r="21" spans="2:3" x14ac:dyDescent="0.55000000000000004">
      <c r="B21" s="3" t="s">
        <v>55</v>
      </c>
      <c r="C21" s="4" t="s">
        <v>56</v>
      </c>
    </row>
    <row r="22" spans="2:3" x14ac:dyDescent="0.55000000000000004">
      <c r="B22" s="3" t="s">
        <v>57</v>
      </c>
      <c r="C22" s="6" t="s">
        <v>58</v>
      </c>
    </row>
    <row r="23" spans="2:3" x14ac:dyDescent="0.55000000000000004">
      <c r="B23" s="3" t="s">
        <v>59</v>
      </c>
      <c r="C23" s="6" t="s">
        <v>60</v>
      </c>
    </row>
    <row r="24" spans="2:3" x14ac:dyDescent="0.55000000000000004">
      <c r="B24" s="3" t="s">
        <v>61</v>
      </c>
      <c r="C24" s="6" t="s">
        <v>9</v>
      </c>
    </row>
    <row r="25" spans="2:3" x14ac:dyDescent="0.55000000000000004">
      <c r="B25" s="3" t="s">
        <v>62</v>
      </c>
      <c r="C25" s="6" t="s">
        <v>63</v>
      </c>
    </row>
    <row r="26" spans="2:3" x14ac:dyDescent="0.55000000000000004">
      <c r="B26" s="3" t="s">
        <v>64</v>
      </c>
      <c r="C26" s="6" t="s">
        <v>65</v>
      </c>
    </row>
    <row r="27" spans="2:3" x14ac:dyDescent="0.55000000000000004">
      <c r="B27" s="3" t="s">
        <v>66</v>
      </c>
      <c r="C27" s="6" t="s">
        <v>67</v>
      </c>
    </row>
    <row r="28" spans="2:3" x14ac:dyDescent="0.55000000000000004">
      <c r="B28" s="3" t="s">
        <v>72</v>
      </c>
      <c r="C28" s="4" t="s">
        <v>69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18"/>
  <sheetViews>
    <sheetView topLeftCell="E1" zoomScaleNormal="100" workbookViewId="0">
      <selection activeCell="J2" sqref="J2:J4"/>
    </sheetView>
  </sheetViews>
  <sheetFormatPr defaultColWidth="8.7109375" defaultRowHeight="21.75" x14ac:dyDescent="0.55000000000000004"/>
  <cols>
    <col min="1" max="1" width="14.7109375" style="96" customWidth="1"/>
    <col min="2" max="2" width="12.28515625" style="67" customWidth="1"/>
    <col min="3" max="3" width="12.28515625" style="1" customWidth="1"/>
    <col min="4" max="4" width="16.85546875" style="1" customWidth="1"/>
    <col min="5" max="5" width="49.28515625" style="7" customWidth="1"/>
    <col min="6" max="6" width="17.5703125" style="8" bestFit="1" customWidth="1"/>
    <col min="7" max="7" width="18.42578125" style="8" customWidth="1"/>
    <col min="8" max="8" width="19.42578125" style="9" customWidth="1"/>
    <col min="9" max="9" width="12" style="9" bestFit="1" customWidth="1"/>
    <col min="10" max="10" width="17.42578125" style="9" customWidth="1"/>
    <col min="11" max="11" width="10.85546875" style="9" bestFit="1" customWidth="1"/>
    <col min="12" max="16384" width="8.7109375" style="1"/>
  </cols>
  <sheetData>
    <row r="1" spans="1:17" s="7" customFormat="1" x14ac:dyDescent="0.55000000000000004">
      <c r="A1" s="96" t="s">
        <v>1</v>
      </c>
      <c r="B1" s="11" t="s">
        <v>73</v>
      </c>
      <c r="C1" s="11" t="s">
        <v>70</v>
      </c>
      <c r="D1" s="1" t="s">
        <v>3</v>
      </c>
      <c r="E1" s="7" t="s">
        <v>4</v>
      </c>
      <c r="F1" s="8" t="s">
        <v>5</v>
      </c>
      <c r="G1" s="8" t="s">
        <v>6</v>
      </c>
      <c r="H1" s="8" t="s">
        <v>7</v>
      </c>
      <c r="I1" s="8" t="s">
        <v>8</v>
      </c>
      <c r="J1" s="129" t="s">
        <v>124</v>
      </c>
      <c r="K1" s="8"/>
      <c r="O1" s="21"/>
      <c r="P1" s="21"/>
      <c r="Q1" s="21"/>
    </row>
    <row r="2" spans="1:17" x14ac:dyDescent="0.55000000000000004">
      <c r="A2" s="97">
        <v>44409</v>
      </c>
      <c r="B2" s="54"/>
      <c r="C2" s="16" t="s">
        <v>5</v>
      </c>
      <c r="D2" s="1" t="s">
        <v>9</v>
      </c>
      <c r="E2" s="7" t="s">
        <v>5</v>
      </c>
      <c r="F2" s="19">
        <v>302500</v>
      </c>
      <c r="G2" s="19"/>
      <c r="H2" s="17"/>
      <c r="I2" s="17">
        <f>Armax[[#This Row],[Opening]]+Armax[[#This Row],[Purchase]]-Armax[[#This Row],[Payment]]</f>
        <v>302500</v>
      </c>
      <c r="J2" s="129">
        <f>Armax[[#This Row],[Balance]]</f>
        <v>302500</v>
      </c>
      <c r="L2" s="127"/>
      <c r="M2" s="127"/>
      <c r="N2" s="127"/>
      <c r="O2" s="127"/>
      <c r="P2" s="127"/>
      <c r="Q2" s="127"/>
    </row>
    <row r="3" spans="1:17" x14ac:dyDescent="0.55000000000000004">
      <c r="A3" s="118">
        <v>44438</v>
      </c>
      <c r="B3" s="124">
        <v>243</v>
      </c>
      <c r="C3" s="119" t="s">
        <v>7</v>
      </c>
      <c r="D3" s="1" t="s">
        <v>9</v>
      </c>
      <c r="E3" s="120" t="s">
        <v>118</v>
      </c>
      <c r="F3" s="121"/>
      <c r="G3" s="121"/>
      <c r="H3" s="122">
        <v>16500</v>
      </c>
      <c r="I3" s="122">
        <f>Armax[[#This Row],[Opening]]+Armax[[#This Row],[Purchase]]-Armax[[#This Row],[Payment]]</f>
        <v>-16500</v>
      </c>
      <c r="J3" s="129">
        <f>J2+Armax[[#This Row],[Purchase]]-Armax[[#This Row],[Payment]]</f>
        <v>286000</v>
      </c>
      <c r="L3" s="127"/>
      <c r="M3" s="127"/>
      <c r="N3" s="127"/>
      <c r="O3" s="127"/>
      <c r="P3" s="127"/>
      <c r="Q3" s="127"/>
    </row>
    <row r="4" spans="1:17" x14ac:dyDescent="0.55000000000000004">
      <c r="A4" s="118">
        <v>44439</v>
      </c>
      <c r="B4" s="124">
        <v>204</v>
      </c>
      <c r="C4" s="119" t="s">
        <v>7</v>
      </c>
      <c r="D4" s="1" t="s">
        <v>9</v>
      </c>
      <c r="E4" s="120" t="s">
        <v>119</v>
      </c>
      <c r="F4" s="121"/>
      <c r="G4" s="121"/>
      <c r="H4" s="122">
        <v>286000</v>
      </c>
      <c r="I4" s="122">
        <f>Armax[[#This Row],[Opening]]+Armax[[#This Row],[Purchase]]-Armax[[#This Row],[Payment]]</f>
        <v>-286000</v>
      </c>
      <c r="J4" s="129">
        <f>J3+Armax[[#This Row],[Purchase]]-Armax[[#This Row],[Payment]]</f>
        <v>0</v>
      </c>
      <c r="L4" s="127"/>
      <c r="M4" s="127"/>
      <c r="N4" s="127"/>
      <c r="O4" s="127"/>
      <c r="P4" s="127"/>
      <c r="Q4" s="127"/>
    </row>
    <row r="5" spans="1:17" x14ac:dyDescent="0.55000000000000004">
      <c r="A5" s="118"/>
      <c r="B5" s="124"/>
      <c r="C5" s="119"/>
      <c r="E5" s="120"/>
      <c r="F5" s="121"/>
      <c r="G5" s="121"/>
      <c r="H5" s="122"/>
      <c r="I5" s="122"/>
      <c r="K5" s="128"/>
      <c r="L5" s="127"/>
      <c r="M5" s="127"/>
      <c r="N5" s="127"/>
      <c r="O5" s="127"/>
      <c r="P5" s="127"/>
      <c r="Q5" s="127"/>
    </row>
    <row r="6" spans="1:17" x14ac:dyDescent="0.55000000000000004">
      <c r="A6" s="118"/>
      <c r="B6" s="124"/>
      <c r="C6" s="119"/>
      <c r="E6" s="120"/>
      <c r="F6" s="121"/>
      <c r="G6" s="121"/>
      <c r="H6" s="122"/>
      <c r="I6" s="122"/>
      <c r="K6" s="128"/>
      <c r="L6" s="127"/>
      <c r="M6" s="127"/>
      <c r="N6" s="127"/>
    </row>
    <row r="7" spans="1:17" x14ac:dyDescent="0.55000000000000004">
      <c r="A7" s="118"/>
      <c r="B7" s="124"/>
      <c r="C7" s="119"/>
      <c r="E7" s="125" t="s">
        <v>120</v>
      </c>
      <c r="F7" s="121"/>
      <c r="G7" s="121"/>
      <c r="H7" s="122"/>
      <c r="I7" s="122"/>
      <c r="L7" s="127"/>
      <c r="M7" s="127"/>
      <c r="N7" s="127"/>
    </row>
    <row r="8" spans="1:17" x14ac:dyDescent="0.55000000000000004">
      <c r="A8" s="118"/>
      <c r="B8" s="124"/>
      <c r="C8" s="119"/>
      <c r="D8" s="123"/>
      <c r="E8" s="125" t="s">
        <v>121</v>
      </c>
      <c r="F8" s="121"/>
      <c r="G8" s="121"/>
      <c r="H8" s="122"/>
      <c r="I8" s="122"/>
    </row>
    <row r="9" spans="1:17" x14ac:dyDescent="0.55000000000000004">
      <c r="A9" s="97"/>
      <c r="B9" s="54"/>
      <c r="C9" s="16"/>
      <c r="E9" s="125" t="s">
        <v>122</v>
      </c>
      <c r="F9" s="19"/>
      <c r="G9" s="19"/>
      <c r="H9" s="17"/>
      <c r="I9" s="17"/>
    </row>
    <row r="10" spans="1:17" x14ac:dyDescent="0.55000000000000004">
      <c r="A10" s="100"/>
      <c r="B10" s="66"/>
      <c r="C10" s="55"/>
      <c r="D10" s="56"/>
      <c r="E10" s="126" t="s">
        <v>123</v>
      </c>
      <c r="F10" s="58"/>
      <c r="G10" s="58"/>
      <c r="H10" s="59"/>
      <c r="I10" s="59"/>
    </row>
    <row r="11" spans="1:17" x14ac:dyDescent="0.55000000000000004">
      <c r="A11" s="97"/>
      <c r="B11" s="54"/>
      <c r="C11" s="16"/>
      <c r="E11" s="14"/>
      <c r="F11" s="19"/>
      <c r="G11" s="19"/>
      <c r="H11" s="17"/>
      <c r="I11" s="17"/>
    </row>
    <row r="12" spans="1:17" x14ac:dyDescent="0.55000000000000004">
      <c r="A12" s="97"/>
      <c r="B12" s="54"/>
      <c r="C12" s="16"/>
      <c r="E12" s="14"/>
      <c r="F12" s="19"/>
      <c r="G12" s="19"/>
      <c r="H12" s="17"/>
      <c r="I12" s="17"/>
    </row>
    <row r="13" spans="1:17" x14ac:dyDescent="0.55000000000000004">
      <c r="A13" s="97"/>
      <c r="B13" s="54"/>
      <c r="C13" s="16"/>
      <c r="E13" s="14"/>
      <c r="F13" s="19"/>
      <c r="G13" s="19"/>
      <c r="H13" s="17"/>
      <c r="I13" s="17"/>
    </row>
    <row r="14" spans="1:17" x14ac:dyDescent="0.55000000000000004">
      <c r="A14" s="97"/>
      <c r="B14" s="54"/>
      <c r="C14" s="16"/>
      <c r="E14" s="14"/>
      <c r="F14" s="19"/>
      <c r="G14" s="19"/>
      <c r="H14" s="17"/>
      <c r="I14" s="17"/>
    </row>
    <row r="15" spans="1:17" x14ac:dyDescent="0.55000000000000004">
      <c r="A15" s="97"/>
      <c r="B15" s="54"/>
      <c r="C15" s="16"/>
      <c r="E15" s="14"/>
      <c r="F15" s="19"/>
      <c r="G15" s="19"/>
      <c r="H15" s="17"/>
      <c r="I15" s="17"/>
    </row>
    <row r="16" spans="1:17" x14ac:dyDescent="0.55000000000000004">
      <c r="A16" s="97"/>
      <c r="B16" s="54"/>
      <c r="C16" s="16"/>
      <c r="E16" s="14"/>
      <c r="F16" s="19"/>
      <c r="G16" s="19"/>
      <c r="H16" s="17"/>
      <c r="I16" s="17"/>
    </row>
    <row r="17" spans="3:3" x14ac:dyDescent="0.55000000000000004">
      <c r="C17" s="11"/>
    </row>
    <row r="18" spans="3:3" x14ac:dyDescent="0.55000000000000004">
      <c r="C18" s="11"/>
    </row>
  </sheetData>
  <pageMargins left="0.7" right="0.7" top="0.75" bottom="0.75" header="0.3" footer="0.3"/>
  <pageSetup paperSize="9" orientation="portrait" verticalDpi="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'Supplier (COA)'!$H$3:$H$5</xm:f>
          </x14:formula1>
          <xm:sqref>C2:C34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21"/>
  <sheetViews>
    <sheetView workbookViewId="0">
      <selection activeCell="J2" sqref="J2:J3"/>
    </sheetView>
  </sheetViews>
  <sheetFormatPr defaultColWidth="8.7109375" defaultRowHeight="21.75" x14ac:dyDescent="0.55000000000000004"/>
  <cols>
    <col min="1" max="1" width="14.7109375" style="96" customWidth="1"/>
    <col min="2" max="2" width="12.28515625" style="11" customWidth="1"/>
    <col min="3" max="3" width="12.28515625" style="1" customWidth="1"/>
    <col min="4" max="4" width="21.140625" style="1" bestFit="1" customWidth="1"/>
    <col min="5" max="5" width="38.28515625" style="7" customWidth="1"/>
    <col min="6" max="6" width="14.140625" style="8" customWidth="1"/>
    <col min="7" max="7" width="18.42578125" style="8" customWidth="1"/>
    <col min="8" max="8" width="16.5703125" style="9" customWidth="1"/>
    <col min="9" max="9" width="16.28515625" style="9" customWidth="1"/>
    <col min="10" max="10" width="15.5703125" style="9" customWidth="1"/>
    <col min="11" max="11" width="10.85546875" style="9" bestFit="1" customWidth="1"/>
    <col min="12" max="16384" width="8.7109375" style="1"/>
  </cols>
  <sheetData>
    <row r="1" spans="1:11" s="7" customFormat="1" x14ac:dyDescent="0.55000000000000004">
      <c r="A1" s="96" t="s">
        <v>1</v>
      </c>
      <c r="B1" s="11" t="s">
        <v>73</v>
      </c>
      <c r="C1" s="11" t="s">
        <v>70</v>
      </c>
      <c r="D1" s="1" t="s">
        <v>3</v>
      </c>
      <c r="E1" s="7" t="s">
        <v>4</v>
      </c>
      <c r="F1" s="8" t="s">
        <v>5</v>
      </c>
      <c r="G1" s="8" t="s">
        <v>6</v>
      </c>
      <c r="H1" s="8" t="s">
        <v>7</v>
      </c>
      <c r="I1" s="8" t="s">
        <v>8</v>
      </c>
      <c r="J1" s="129" t="s">
        <v>124</v>
      </c>
      <c r="K1" s="8"/>
    </row>
    <row r="2" spans="1:11" x14ac:dyDescent="0.55000000000000004">
      <c r="A2" s="97">
        <v>44409</v>
      </c>
      <c r="B2" s="16"/>
      <c r="C2" s="16" t="s">
        <v>5</v>
      </c>
      <c r="D2" s="1" t="s">
        <v>15</v>
      </c>
      <c r="E2" s="7" t="s">
        <v>5</v>
      </c>
      <c r="F2" s="19">
        <v>306000</v>
      </c>
      <c r="G2" s="19"/>
      <c r="H2" s="17"/>
      <c r="I2" s="17">
        <f>AAM[[#This Row],[Opening]]+AAM[[#This Row],[Purchase]]-AAM[[#This Row],[Payment]]</f>
        <v>306000</v>
      </c>
      <c r="J2" s="129">
        <f>AAM[[#This Row],[Balance]]</f>
        <v>306000</v>
      </c>
    </row>
    <row r="3" spans="1:11" x14ac:dyDescent="0.55000000000000004">
      <c r="A3" s="98">
        <v>44432</v>
      </c>
      <c r="B3" s="90">
        <v>80395</v>
      </c>
      <c r="C3" s="90" t="s">
        <v>6</v>
      </c>
      <c r="D3" s="1" t="s">
        <v>15</v>
      </c>
      <c r="E3" s="42" t="s">
        <v>113</v>
      </c>
      <c r="F3" s="93"/>
      <c r="G3" s="93">
        <v>142450</v>
      </c>
      <c r="H3" s="94"/>
      <c r="I3" s="94">
        <f>AAM[[#This Row],[Opening]]+AAM[[#This Row],[Purchase]]-AAM[[#This Row],[Payment]]</f>
        <v>142450</v>
      </c>
      <c r="J3" s="129">
        <f>J2+AAM[[#This Row],[Purchase]]-AAM[[#This Row],[Payment]]</f>
        <v>448450</v>
      </c>
    </row>
    <row r="4" spans="1:11" x14ac:dyDescent="0.55000000000000004">
      <c r="A4" s="130"/>
      <c r="B4" s="131"/>
      <c r="C4" s="131"/>
      <c r="D4" s="132"/>
      <c r="E4" s="133"/>
      <c r="F4" s="129"/>
      <c r="G4" s="129"/>
      <c r="H4" s="134"/>
      <c r="I4" s="134"/>
      <c r="J4" s="129">
        <v>0</v>
      </c>
    </row>
    <row r="5" spans="1:11" x14ac:dyDescent="0.55000000000000004">
      <c r="A5" s="101"/>
      <c r="B5" s="45"/>
      <c r="C5" s="45"/>
      <c r="D5" s="46"/>
      <c r="E5" s="42"/>
      <c r="F5" s="47"/>
      <c r="G5" s="47"/>
      <c r="H5" s="48"/>
      <c r="I5" s="48"/>
    </row>
    <row r="6" spans="1:11" x14ac:dyDescent="0.55000000000000004">
      <c r="A6" s="97"/>
      <c r="B6" s="16"/>
      <c r="C6" s="16"/>
      <c r="E6" s="42"/>
      <c r="F6" s="19"/>
      <c r="G6" s="19"/>
      <c r="H6" s="17"/>
      <c r="I6" s="17"/>
    </row>
    <row r="7" spans="1:11" x14ac:dyDescent="0.55000000000000004">
      <c r="A7" s="99"/>
      <c r="B7" s="82"/>
      <c r="C7" s="82"/>
      <c r="E7" s="83"/>
      <c r="F7" s="84"/>
      <c r="G7" s="84"/>
      <c r="H7" s="85"/>
      <c r="I7" s="85"/>
    </row>
    <row r="8" spans="1:11" x14ac:dyDescent="0.55000000000000004">
      <c r="A8" s="99"/>
      <c r="B8" s="82"/>
      <c r="C8" s="82"/>
      <c r="E8" s="83"/>
      <c r="F8" s="84"/>
      <c r="G8" s="84"/>
      <c r="H8" s="85"/>
      <c r="I8" s="85"/>
    </row>
    <row r="9" spans="1:11" x14ac:dyDescent="0.55000000000000004">
      <c r="A9" s="99"/>
      <c r="B9" s="82"/>
      <c r="C9" s="82"/>
      <c r="E9" s="83"/>
      <c r="F9" s="84"/>
      <c r="G9" s="84"/>
      <c r="H9" s="85"/>
      <c r="I9" s="85"/>
    </row>
    <row r="10" spans="1:11" x14ac:dyDescent="0.55000000000000004">
      <c r="A10" s="99"/>
      <c r="B10" s="82"/>
      <c r="C10" s="82"/>
      <c r="E10" s="83"/>
      <c r="F10" s="84"/>
      <c r="G10" s="84"/>
      <c r="H10" s="85"/>
      <c r="I10" s="85"/>
    </row>
    <row r="11" spans="1:11" x14ac:dyDescent="0.55000000000000004">
      <c r="A11" s="99"/>
      <c r="B11" s="82"/>
      <c r="C11" s="82"/>
      <c r="E11" s="87"/>
      <c r="F11" s="84"/>
      <c r="G11" s="84"/>
      <c r="H11" s="85"/>
      <c r="I11" s="85"/>
    </row>
    <row r="12" spans="1:11" x14ac:dyDescent="0.55000000000000004">
      <c r="A12" s="99"/>
      <c r="B12" s="82"/>
      <c r="C12" s="82"/>
      <c r="E12" s="83"/>
      <c r="F12" s="84"/>
      <c r="G12" s="84"/>
      <c r="H12" s="85"/>
      <c r="I12" s="85"/>
    </row>
    <row r="13" spans="1:11" x14ac:dyDescent="0.55000000000000004">
      <c r="A13" s="99"/>
      <c r="B13" s="82"/>
      <c r="C13" s="82"/>
      <c r="D13" s="86"/>
      <c r="E13" s="83"/>
      <c r="F13" s="84"/>
      <c r="G13" s="84"/>
      <c r="H13" s="85"/>
      <c r="I13" s="85"/>
    </row>
    <row r="14" spans="1:11" x14ac:dyDescent="0.55000000000000004">
      <c r="A14" s="97"/>
      <c r="B14" s="16"/>
      <c r="C14" s="16"/>
      <c r="F14" s="19"/>
      <c r="G14" s="19"/>
      <c r="H14" s="17"/>
      <c r="I14" s="17"/>
    </row>
    <row r="15" spans="1:11" x14ac:dyDescent="0.55000000000000004">
      <c r="A15" s="97"/>
      <c r="B15" s="16"/>
      <c r="C15" s="16"/>
      <c r="F15" s="19"/>
      <c r="G15" s="19"/>
      <c r="H15" s="17"/>
      <c r="I15" s="17"/>
    </row>
    <row r="16" spans="1:11" x14ac:dyDescent="0.55000000000000004">
      <c r="A16" s="97"/>
      <c r="B16" s="16"/>
      <c r="C16" s="16"/>
      <c r="E16" s="14"/>
      <c r="F16" s="19"/>
      <c r="G16" s="19"/>
      <c r="H16" s="17"/>
      <c r="I16" s="17"/>
    </row>
    <row r="17" spans="1:9" x14ac:dyDescent="0.55000000000000004">
      <c r="A17" s="97"/>
      <c r="B17" s="16"/>
      <c r="C17" s="16"/>
      <c r="E17" s="14"/>
      <c r="F17" s="19"/>
      <c r="G17" s="19"/>
      <c r="H17" s="17"/>
      <c r="I17" s="17"/>
    </row>
    <row r="18" spans="1:9" x14ac:dyDescent="0.55000000000000004">
      <c r="A18" s="97"/>
      <c r="B18" s="16"/>
      <c r="C18" s="16"/>
      <c r="E18" s="14"/>
      <c r="F18" s="19"/>
      <c r="G18" s="19"/>
      <c r="H18" s="17"/>
      <c r="I18" s="17"/>
    </row>
    <row r="19" spans="1:9" x14ac:dyDescent="0.55000000000000004">
      <c r="A19" s="97"/>
      <c r="B19" s="16"/>
      <c r="C19" s="16"/>
      <c r="E19" s="14"/>
      <c r="F19" s="19"/>
      <c r="G19" s="19"/>
      <c r="H19" s="17"/>
      <c r="I19" s="17"/>
    </row>
    <row r="20" spans="1:9" x14ac:dyDescent="0.55000000000000004">
      <c r="C20" s="11"/>
    </row>
    <row r="21" spans="1:9" x14ac:dyDescent="0.55000000000000004">
      <c r="C21" s="11"/>
    </row>
  </sheetData>
  <pageMargins left="0.7" right="0.7" top="0.75" bottom="0.75" header="0.3" footer="0.3"/>
  <pageSetup orientation="portrait" horizontalDpi="0" verticalDpi="0"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'Supplier (COA)'!$H$3:$H$5</xm:f>
          </x14:formula1>
          <xm:sqref>C2:C52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M91"/>
  <sheetViews>
    <sheetView topLeftCell="E1" zoomScaleNormal="100" workbookViewId="0">
      <selection activeCell="J2" sqref="J2:J5"/>
    </sheetView>
  </sheetViews>
  <sheetFormatPr defaultColWidth="8.7109375" defaultRowHeight="21.75" x14ac:dyDescent="0.55000000000000004"/>
  <cols>
    <col min="1" max="1" width="14.7109375" style="96" customWidth="1"/>
    <col min="2" max="2" width="12.28515625" style="11" customWidth="1"/>
    <col min="3" max="3" width="13.7109375" style="1" customWidth="1"/>
    <col min="4" max="4" width="16.28515625" style="1" customWidth="1"/>
    <col min="5" max="5" width="41" style="7" customWidth="1"/>
    <col min="6" max="6" width="17.5703125" style="8" bestFit="1" customWidth="1"/>
    <col min="7" max="7" width="18.42578125" style="8" customWidth="1"/>
    <col min="8" max="8" width="16.140625" style="9" customWidth="1"/>
    <col min="9" max="9" width="17.5703125" style="9" customWidth="1"/>
    <col min="10" max="10" width="13.7109375" style="9" customWidth="1"/>
    <col min="11" max="12" width="11.85546875" style="9" customWidth="1"/>
    <col min="13" max="13" width="10.85546875" style="9" bestFit="1" customWidth="1"/>
    <col min="14" max="16384" width="8.7109375" style="1"/>
  </cols>
  <sheetData>
    <row r="1" spans="1:13" s="7" customFormat="1" x14ac:dyDescent="0.55000000000000004">
      <c r="A1" s="96" t="s">
        <v>1</v>
      </c>
      <c r="B1" s="11" t="s">
        <v>73</v>
      </c>
      <c r="C1" s="11" t="s">
        <v>70</v>
      </c>
      <c r="D1" s="1" t="s">
        <v>3</v>
      </c>
      <c r="E1" s="7" t="s">
        <v>4</v>
      </c>
      <c r="F1" s="8" t="s">
        <v>5</v>
      </c>
      <c r="G1" s="8" t="s">
        <v>6</v>
      </c>
      <c r="H1" s="8" t="s">
        <v>7</v>
      </c>
      <c r="I1" s="8" t="s">
        <v>8</v>
      </c>
      <c r="J1" s="129" t="s">
        <v>124</v>
      </c>
      <c r="K1" s="129"/>
      <c r="L1" s="129"/>
      <c r="M1" s="8"/>
    </row>
    <row r="2" spans="1:13" x14ac:dyDescent="0.55000000000000004">
      <c r="A2" s="97">
        <v>44409</v>
      </c>
      <c r="B2" s="16"/>
      <c r="C2" s="16" t="s">
        <v>5</v>
      </c>
      <c r="D2" s="1" t="s">
        <v>18</v>
      </c>
      <c r="E2" s="7" t="s">
        <v>5</v>
      </c>
      <c r="F2" s="19">
        <v>706911</v>
      </c>
      <c r="G2" s="19"/>
      <c r="H2" s="17"/>
      <c r="I2" s="17">
        <f>AMT[[#This Row],[Opening]]+AMT[[#This Row],[Purchase]]-AMT[[#This Row],[Payment]]</f>
        <v>706911</v>
      </c>
      <c r="J2" s="129">
        <f>AMT[[#This Row],[Balance]]</f>
        <v>706911</v>
      </c>
      <c r="K2" s="129"/>
      <c r="L2" s="129"/>
    </row>
    <row r="3" spans="1:13" x14ac:dyDescent="0.55000000000000004">
      <c r="A3" s="101">
        <v>44431</v>
      </c>
      <c r="B3" s="45">
        <v>2168</v>
      </c>
      <c r="C3" s="45" t="s">
        <v>6</v>
      </c>
      <c r="D3" s="1" t="s">
        <v>18</v>
      </c>
      <c r="E3" s="42" t="s">
        <v>108</v>
      </c>
      <c r="F3" s="47"/>
      <c r="G3" s="47">
        <v>36350</v>
      </c>
      <c r="H3" s="48"/>
      <c r="I3" s="48">
        <f>AMT[[#This Row],[Opening]]+AMT[[#This Row],[Purchase]]-AMT[[#This Row],[Payment]]</f>
        <v>36350</v>
      </c>
      <c r="J3" s="129">
        <f>J2+AMT[[#This Row],[Purchase]]-AMT[[#This Row],[Payment]]</f>
        <v>743261</v>
      </c>
      <c r="K3" s="129"/>
      <c r="L3" s="129"/>
      <c r="M3" s="9" t="s">
        <v>71</v>
      </c>
    </row>
    <row r="4" spans="1:13" x14ac:dyDescent="0.55000000000000004">
      <c r="A4" s="101">
        <v>44432</v>
      </c>
      <c r="B4" s="45">
        <v>21462</v>
      </c>
      <c r="C4" s="45" t="s">
        <v>6</v>
      </c>
      <c r="D4" s="1" t="s">
        <v>18</v>
      </c>
      <c r="E4" s="42" t="s">
        <v>107</v>
      </c>
      <c r="F4" s="47"/>
      <c r="G4" s="47">
        <v>3675</v>
      </c>
      <c r="H4" s="48"/>
      <c r="I4" s="48">
        <f>AMT[[#This Row],[Opening]]+AMT[[#This Row],[Purchase]]-AMT[[#This Row],[Payment]]</f>
        <v>3675</v>
      </c>
      <c r="J4" s="129">
        <f>J3+AMT[[#This Row],[Purchase]]-AMT[[#This Row],[Payment]]</f>
        <v>746936</v>
      </c>
      <c r="K4" s="129"/>
      <c r="L4" s="129"/>
    </row>
    <row r="5" spans="1:13" x14ac:dyDescent="0.55000000000000004">
      <c r="A5" s="118">
        <v>44434</v>
      </c>
      <c r="B5" s="119">
        <v>21686</v>
      </c>
      <c r="C5" s="119" t="s">
        <v>6</v>
      </c>
      <c r="D5" s="1" t="s">
        <v>18</v>
      </c>
      <c r="E5" s="120" t="s">
        <v>114</v>
      </c>
      <c r="F5" s="121"/>
      <c r="G5" s="121">
        <v>38600</v>
      </c>
      <c r="H5" s="122"/>
      <c r="I5" s="122">
        <f>AMT[[#This Row],[Opening]]+AMT[[#This Row],[Purchase]]-AMT[[#This Row],[Payment]]</f>
        <v>38600</v>
      </c>
      <c r="J5" s="129">
        <f>J4+AMT[[#This Row],[Purchase]]-AMT[[#This Row],[Payment]]</f>
        <v>785536</v>
      </c>
      <c r="K5" s="129"/>
      <c r="L5" s="129"/>
    </row>
    <row r="6" spans="1:13" x14ac:dyDescent="0.55000000000000004">
      <c r="A6" s="118"/>
      <c r="B6" s="119"/>
      <c r="C6" s="119"/>
      <c r="E6" s="120"/>
      <c r="F6" s="121"/>
      <c r="G6" s="121"/>
      <c r="H6" s="122"/>
      <c r="I6" s="122"/>
    </row>
    <row r="7" spans="1:13" x14ac:dyDescent="0.55000000000000004">
      <c r="A7" s="98"/>
      <c r="B7" s="90"/>
      <c r="C7" s="90"/>
      <c r="E7" s="92"/>
      <c r="F7" s="93"/>
      <c r="G7" s="93"/>
      <c r="H7" s="94"/>
      <c r="I7" s="94"/>
    </row>
    <row r="8" spans="1:13" x14ac:dyDescent="0.55000000000000004">
      <c r="A8" s="98"/>
      <c r="B8" s="90"/>
      <c r="C8" s="90"/>
      <c r="E8" s="92"/>
      <c r="F8" s="93"/>
      <c r="G8" s="93"/>
      <c r="H8" s="94"/>
      <c r="I8" s="94"/>
    </row>
    <row r="9" spans="1:13" x14ac:dyDescent="0.55000000000000004">
      <c r="A9" s="98"/>
      <c r="B9" s="90"/>
      <c r="C9" s="90"/>
      <c r="E9" s="92"/>
      <c r="F9" s="93"/>
      <c r="G9" s="93"/>
      <c r="H9" s="94"/>
      <c r="I9" s="94"/>
    </row>
    <row r="10" spans="1:13" x14ac:dyDescent="0.55000000000000004">
      <c r="A10" s="98"/>
      <c r="B10" s="90"/>
      <c r="C10" s="90"/>
      <c r="E10" s="92"/>
      <c r="F10" s="93"/>
      <c r="G10" s="93"/>
      <c r="H10" s="94"/>
      <c r="I10" s="94"/>
    </row>
    <row r="11" spans="1:13" x14ac:dyDescent="0.55000000000000004">
      <c r="A11" s="98"/>
      <c r="B11" s="90"/>
      <c r="C11" s="90"/>
      <c r="E11" s="92"/>
      <c r="F11" s="93"/>
      <c r="G11" s="93"/>
      <c r="H11" s="94"/>
      <c r="I11" s="94"/>
    </row>
    <row r="12" spans="1:13" x14ac:dyDescent="0.55000000000000004">
      <c r="A12" s="98"/>
      <c r="B12" s="90"/>
      <c r="C12" s="90"/>
      <c r="E12" s="92"/>
      <c r="F12" s="93"/>
      <c r="G12" s="93"/>
      <c r="H12" s="94"/>
      <c r="I12" s="94"/>
    </row>
    <row r="13" spans="1:13" x14ac:dyDescent="0.55000000000000004">
      <c r="A13" s="98"/>
      <c r="B13" s="90"/>
      <c r="C13" s="90"/>
      <c r="D13" s="91"/>
      <c r="E13" s="92"/>
      <c r="F13" s="93"/>
      <c r="G13" s="93"/>
      <c r="H13" s="94"/>
      <c r="I13" s="94"/>
    </row>
    <row r="14" spans="1:13" x14ac:dyDescent="0.55000000000000004">
      <c r="A14" s="98"/>
      <c r="B14" s="90"/>
      <c r="C14" s="90"/>
      <c r="D14" s="91"/>
      <c r="E14" s="92"/>
      <c r="F14" s="93"/>
      <c r="G14" s="93"/>
      <c r="H14" s="94"/>
      <c r="I14" s="94"/>
    </row>
    <row r="15" spans="1:13" x14ac:dyDescent="0.55000000000000004">
      <c r="A15" s="97"/>
      <c r="B15" s="16"/>
      <c r="C15" s="16"/>
      <c r="E15" s="44"/>
      <c r="F15" s="19"/>
      <c r="G15" s="19"/>
      <c r="H15" s="17"/>
      <c r="I15" s="17"/>
    </row>
    <row r="16" spans="1:13" x14ac:dyDescent="0.55000000000000004">
      <c r="A16" s="99"/>
      <c r="B16" s="82"/>
      <c r="C16" s="82"/>
      <c r="E16" s="87"/>
      <c r="F16" s="84"/>
      <c r="G16" s="84"/>
      <c r="H16" s="85"/>
      <c r="I16" s="85"/>
    </row>
    <row r="17" spans="1:9" x14ac:dyDescent="0.55000000000000004">
      <c r="A17" s="99"/>
      <c r="B17" s="82"/>
      <c r="C17" s="82"/>
      <c r="E17" s="87"/>
      <c r="F17" s="84"/>
      <c r="G17" s="84"/>
      <c r="H17" s="85"/>
      <c r="I17" s="85"/>
    </row>
    <row r="18" spans="1:9" x14ac:dyDescent="0.55000000000000004">
      <c r="A18" s="99"/>
      <c r="B18" s="82"/>
      <c r="C18" s="82"/>
      <c r="E18" s="87"/>
      <c r="F18" s="84"/>
      <c r="G18" s="84"/>
      <c r="H18" s="85"/>
      <c r="I18" s="85"/>
    </row>
    <row r="19" spans="1:9" x14ac:dyDescent="0.55000000000000004">
      <c r="A19" s="99"/>
      <c r="B19" s="82"/>
      <c r="C19" s="82"/>
      <c r="E19" s="87"/>
      <c r="F19" s="84"/>
      <c r="G19" s="84"/>
      <c r="H19" s="85"/>
      <c r="I19" s="85"/>
    </row>
    <row r="20" spans="1:9" x14ac:dyDescent="0.55000000000000004">
      <c r="A20" s="99"/>
      <c r="B20" s="82"/>
      <c r="C20" s="82"/>
      <c r="E20" s="87"/>
      <c r="F20" s="84"/>
      <c r="G20" s="84"/>
      <c r="H20" s="85"/>
      <c r="I20" s="85"/>
    </row>
    <row r="21" spans="1:9" x14ac:dyDescent="0.55000000000000004">
      <c r="A21" s="99"/>
      <c r="B21" s="82"/>
      <c r="C21" s="82"/>
      <c r="E21" s="87"/>
      <c r="F21" s="84"/>
      <c r="G21" s="84"/>
      <c r="H21" s="85"/>
      <c r="I21" s="85"/>
    </row>
    <row r="22" spans="1:9" x14ac:dyDescent="0.55000000000000004">
      <c r="A22" s="99"/>
      <c r="B22" s="82"/>
      <c r="C22" s="82"/>
      <c r="E22" s="87"/>
      <c r="F22" s="84"/>
      <c r="G22" s="84"/>
      <c r="H22" s="85"/>
      <c r="I22" s="85"/>
    </row>
    <row r="23" spans="1:9" x14ac:dyDescent="0.55000000000000004">
      <c r="A23" s="99"/>
      <c r="B23" s="82"/>
      <c r="C23" s="82"/>
      <c r="E23" s="87"/>
      <c r="F23" s="84"/>
      <c r="G23" s="84"/>
      <c r="H23" s="85"/>
      <c r="I23" s="85"/>
    </row>
    <row r="24" spans="1:9" x14ac:dyDescent="0.55000000000000004">
      <c r="A24" s="99"/>
      <c r="B24" s="82"/>
      <c r="C24" s="82"/>
      <c r="E24" s="87"/>
      <c r="F24" s="84"/>
      <c r="G24" s="84"/>
      <c r="H24" s="85"/>
      <c r="I24" s="85"/>
    </row>
    <row r="25" spans="1:9" x14ac:dyDescent="0.55000000000000004">
      <c r="A25" s="99"/>
      <c r="B25" s="82"/>
      <c r="C25" s="82"/>
      <c r="E25" s="87"/>
      <c r="F25" s="84"/>
      <c r="G25" s="84"/>
      <c r="H25" s="85"/>
      <c r="I25" s="85"/>
    </row>
    <row r="26" spans="1:9" x14ac:dyDescent="0.55000000000000004">
      <c r="A26" s="99"/>
      <c r="B26" s="82"/>
      <c r="C26" s="82"/>
      <c r="E26" s="87"/>
      <c r="F26" s="84"/>
      <c r="G26" s="84"/>
      <c r="H26" s="85"/>
      <c r="I26" s="85"/>
    </row>
    <row r="27" spans="1:9" x14ac:dyDescent="0.55000000000000004">
      <c r="A27" s="99"/>
      <c r="B27" s="82"/>
      <c r="C27" s="82"/>
      <c r="E27" s="87"/>
      <c r="F27" s="84"/>
      <c r="G27" s="84"/>
      <c r="H27" s="85"/>
      <c r="I27" s="85"/>
    </row>
    <row r="28" spans="1:9" x14ac:dyDescent="0.55000000000000004">
      <c r="A28" s="99"/>
      <c r="B28" s="82"/>
      <c r="C28" s="82"/>
      <c r="E28" s="87"/>
      <c r="F28" s="84"/>
      <c r="G28" s="84"/>
      <c r="H28" s="85"/>
      <c r="I28" s="85"/>
    </row>
    <row r="29" spans="1:9" x14ac:dyDescent="0.55000000000000004">
      <c r="A29" s="99"/>
      <c r="B29" s="82"/>
      <c r="C29" s="82"/>
      <c r="E29" s="87"/>
      <c r="F29" s="84"/>
      <c r="G29" s="84"/>
      <c r="H29" s="85"/>
      <c r="I29" s="85"/>
    </row>
    <row r="30" spans="1:9" x14ac:dyDescent="0.55000000000000004">
      <c r="A30" s="99"/>
      <c r="B30" s="82"/>
      <c r="C30" s="82"/>
      <c r="E30" s="87"/>
      <c r="F30" s="84"/>
      <c r="G30" s="84"/>
      <c r="H30" s="85"/>
      <c r="I30" s="85"/>
    </row>
    <row r="31" spans="1:9" x14ac:dyDescent="0.55000000000000004">
      <c r="A31" s="99"/>
      <c r="B31" s="82"/>
      <c r="C31" s="82"/>
      <c r="E31" s="87"/>
      <c r="F31" s="84"/>
      <c r="G31" s="84"/>
      <c r="H31" s="85"/>
      <c r="I31" s="85"/>
    </row>
    <row r="32" spans="1:9" x14ac:dyDescent="0.55000000000000004">
      <c r="A32" s="99"/>
      <c r="B32" s="82"/>
      <c r="C32" s="82"/>
      <c r="E32" s="87"/>
      <c r="F32" s="84"/>
      <c r="G32" s="84"/>
      <c r="H32" s="85"/>
      <c r="I32" s="85"/>
    </row>
    <row r="33" spans="1:9" x14ac:dyDescent="0.55000000000000004">
      <c r="A33" s="99"/>
      <c r="B33" s="82"/>
      <c r="C33" s="82"/>
      <c r="E33" s="87"/>
      <c r="F33" s="84"/>
      <c r="G33" s="84"/>
      <c r="H33" s="85"/>
      <c r="I33" s="85"/>
    </row>
    <row r="34" spans="1:9" x14ac:dyDescent="0.55000000000000004">
      <c r="A34" s="99"/>
      <c r="B34" s="82"/>
      <c r="C34" s="82"/>
      <c r="E34" s="87"/>
      <c r="F34" s="84"/>
      <c r="G34" s="84"/>
      <c r="H34" s="85"/>
      <c r="I34" s="85"/>
    </row>
    <row r="35" spans="1:9" x14ac:dyDescent="0.55000000000000004">
      <c r="A35" s="99"/>
      <c r="B35" s="82"/>
      <c r="C35" s="82"/>
      <c r="E35" s="87"/>
      <c r="F35" s="84"/>
      <c r="G35" s="84"/>
      <c r="H35" s="85"/>
      <c r="I35" s="85"/>
    </row>
    <row r="36" spans="1:9" x14ac:dyDescent="0.55000000000000004">
      <c r="A36" s="99"/>
      <c r="B36" s="82"/>
      <c r="C36" s="82"/>
      <c r="E36" s="87"/>
      <c r="F36" s="84"/>
      <c r="G36" s="84"/>
      <c r="H36" s="85"/>
      <c r="I36" s="85"/>
    </row>
    <row r="37" spans="1:9" x14ac:dyDescent="0.55000000000000004">
      <c r="A37" s="99"/>
      <c r="B37" s="82"/>
      <c r="C37" s="82"/>
      <c r="E37" s="87"/>
      <c r="F37" s="84"/>
      <c r="G37" s="84"/>
      <c r="H37" s="85"/>
      <c r="I37" s="85"/>
    </row>
    <row r="38" spans="1:9" x14ac:dyDescent="0.55000000000000004">
      <c r="A38" s="99"/>
      <c r="B38" s="82"/>
      <c r="C38" s="82"/>
      <c r="E38" s="87"/>
      <c r="F38" s="84"/>
      <c r="G38" s="84"/>
      <c r="H38" s="85"/>
      <c r="I38" s="85"/>
    </row>
    <row r="39" spans="1:9" x14ac:dyDescent="0.55000000000000004">
      <c r="A39" s="99"/>
      <c r="B39" s="82"/>
      <c r="C39" s="82"/>
      <c r="E39" s="87"/>
      <c r="F39" s="84"/>
      <c r="G39" s="84"/>
      <c r="H39" s="85"/>
      <c r="I39" s="85"/>
    </row>
    <row r="40" spans="1:9" x14ac:dyDescent="0.55000000000000004">
      <c r="A40" s="99"/>
      <c r="B40" s="82"/>
      <c r="C40" s="82"/>
      <c r="E40" s="87"/>
      <c r="F40" s="84"/>
      <c r="G40" s="84"/>
      <c r="H40" s="85"/>
      <c r="I40" s="85"/>
    </row>
    <row r="41" spans="1:9" x14ac:dyDescent="0.55000000000000004">
      <c r="A41" s="99"/>
      <c r="B41" s="82"/>
      <c r="C41" s="82"/>
      <c r="E41" s="87"/>
      <c r="F41" s="84"/>
      <c r="G41" s="84"/>
      <c r="H41" s="85"/>
      <c r="I41" s="85"/>
    </row>
    <row r="42" spans="1:9" x14ac:dyDescent="0.55000000000000004">
      <c r="A42" s="99"/>
      <c r="B42" s="82"/>
      <c r="C42" s="82"/>
      <c r="E42" s="87"/>
      <c r="F42" s="84"/>
      <c r="G42" s="84"/>
      <c r="H42" s="85"/>
      <c r="I42" s="85"/>
    </row>
    <row r="43" spans="1:9" x14ac:dyDescent="0.55000000000000004">
      <c r="A43" s="99"/>
      <c r="B43" s="82"/>
      <c r="C43" s="82"/>
      <c r="E43" s="87"/>
      <c r="F43" s="84"/>
      <c r="G43" s="84"/>
      <c r="H43" s="85"/>
      <c r="I43" s="85"/>
    </row>
    <row r="44" spans="1:9" x14ac:dyDescent="0.55000000000000004">
      <c r="A44" s="99"/>
      <c r="B44" s="82"/>
      <c r="C44" s="82"/>
      <c r="E44" s="87"/>
      <c r="F44" s="84"/>
      <c r="G44" s="84"/>
      <c r="H44" s="85"/>
      <c r="I44" s="85"/>
    </row>
    <row r="45" spans="1:9" x14ac:dyDescent="0.55000000000000004">
      <c r="A45" s="99"/>
      <c r="B45" s="82"/>
      <c r="C45" s="82"/>
      <c r="E45" s="87"/>
      <c r="F45" s="84"/>
      <c r="G45" s="84"/>
      <c r="H45" s="85"/>
      <c r="I45" s="85"/>
    </row>
    <row r="46" spans="1:9" x14ac:dyDescent="0.55000000000000004">
      <c r="A46" s="99"/>
      <c r="B46" s="82"/>
      <c r="C46" s="82"/>
      <c r="E46" s="87"/>
      <c r="F46" s="84"/>
      <c r="G46" s="84"/>
      <c r="H46" s="85"/>
      <c r="I46" s="85"/>
    </row>
    <row r="47" spans="1:9" x14ac:dyDescent="0.55000000000000004">
      <c r="A47" s="99"/>
      <c r="B47" s="82"/>
      <c r="C47" s="82"/>
      <c r="E47" s="87"/>
      <c r="F47" s="84"/>
      <c r="G47" s="84"/>
      <c r="H47" s="85"/>
      <c r="I47" s="85"/>
    </row>
    <row r="48" spans="1:9" x14ac:dyDescent="0.55000000000000004">
      <c r="A48" s="99"/>
      <c r="B48" s="82"/>
      <c r="C48" s="82"/>
      <c r="D48" s="86"/>
      <c r="E48" s="87"/>
      <c r="F48" s="84"/>
      <c r="G48" s="84"/>
      <c r="H48" s="85"/>
      <c r="I48" s="85"/>
    </row>
    <row r="49" spans="1:9" x14ac:dyDescent="0.55000000000000004">
      <c r="A49" s="100"/>
      <c r="B49" s="55"/>
      <c r="C49" s="55"/>
      <c r="E49" s="60"/>
      <c r="F49" s="58"/>
      <c r="G49" s="58"/>
      <c r="H49" s="59"/>
      <c r="I49" s="59"/>
    </row>
    <row r="50" spans="1:9" x14ac:dyDescent="0.55000000000000004">
      <c r="A50" s="100"/>
      <c r="B50" s="55"/>
      <c r="C50" s="55"/>
      <c r="E50" s="60"/>
      <c r="F50" s="58"/>
      <c r="G50" s="58"/>
      <c r="H50" s="59"/>
      <c r="I50" s="59"/>
    </row>
    <row r="51" spans="1:9" x14ac:dyDescent="0.55000000000000004">
      <c r="A51" s="100"/>
      <c r="B51" s="55"/>
      <c r="C51" s="55"/>
      <c r="E51" s="60"/>
      <c r="F51" s="58"/>
      <c r="G51" s="58"/>
      <c r="H51" s="59"/>
      <c r="I51" s="59"/>
    </row>
    <row r="52" spans="1:9" x14ac:dyDescent="0.55000000000000004">
      <c r="A52" s="100"/>
      <c r="B52" s="55"/>
      <c r="C52" s="55"/>
      <c r="E52" s="60"/>
      <c r="F52" s="58"/>
      <c r="G52" s="58"/>
      <c r="H52" s="59"/>
      <c r="I52" s="59"/>
    </row>
    <row r="53" spans="1:9" x14ac:dyDescent="0.55000000000000004">
      <c r="A53" s="100"/>
      <c r="B53" s="55"/>
      <c r="C53" s="55"/>
      <c r="E53" s="60"/>
      <c r="F53" s="58"/>
      <c r="G53" s="58"/>
      <c r="H53" s="59"/>
      <c r="I53" s="59"/>
    </row>
    <row r="54" spans="1:9" x14ac:dyDescent="0.55000000000000004">
      <c r="A54" s="100"/>
      <c r="B54" s="55"/>
      <c r="C54" s="55"/>
      <c r="E54" s="60"/>
      <c r="F54" s="58"/>
      <c r="G54" s="58"/>
      <c r="H54" s="59"/>
      <c r="I54" s="59"/>
    </row>
    <row r="55" spans="1:9" x14ac:dyDescent="0.55000000000000004">
      <c r="A55" s="100"/>
      <c r="B55" s="55"/>
      <c r="C55" s="55"/>
      <c r="E55" s="60"/>
      <c r="F55" s="58"/>
      <c r="G55" s="58"/>
      <c r="H55" s="59"/>
      <c r="I55" s="59"/>
    </row>
    <row r="56" spans="1:9" x14ac:dyDescent="0.55000000000000004">
      <c r="A56" s="100"/>
      <c r="B56" s="55"/>
      <c r="C56" s="55"/>
      <c r="E56" s="44"/>
      <c r="F56" s="58"/>
      <c r="G56" s="58"/>
      <c r="H56" s="59"/>
      <c r="I56" s="59"/>
    </row>
    <row r="57" spans="1:9" x14ac:dyDescent="0.55000000000000004">
      <c r="A57" s="100"/>
      <c r="B57" s="55"/>
      <c r="C57" s="55"/>
      <c r="E57" s="60"/>
      <c r="F57" s="58"/>
      <c r="G57" s="58"/>
      <c r="H57" s="59"/>
      <c r="I57" s="59"/>
    </row>
    <row r="58" spans="1:9" x14ac:dyDescent="0.55000000000000004">
      <c r="A58" s="100"/>
      <c r="B58" s="55"/>
      <c r="C58" s="55"/>
      <c r="E58" s="60"/>
      <c r="F58" s="58"/>
      <c r="G58" s="58"/>
      <c r="H58" s="59"/>
      <c r="I58" s="59"/>
    </row>
    <row r="59" spans="1:9" x14ac:dyDescent="0.55000000000000004">
      <c r="A59" s="100"/>
      <c r="B59" s="55"/>
      <c r="C59" s="55"/>
      <c r="E59" s="60"/>
      <c r="F59" s="58"/>
      <c r="G59" s="58"/>
      <c r="H59" s="59"/>
      <c r="I59" s="59"/>
    </row>
    <row r="60" spans="1:9" x14ac:dyDescent="0.55000000000000004">
      <c r="A60" s="100"/>
      <c r="B60" s="55"/>
      <c r="C60" s="55"/>
      <c r="E60" s="60"/>
      <c r="F60" s="58"/>
      <c r="G60" s="58"/>
      <c r="H60" s="59"/>
      <c r="I60" s="59"/>
    </row>
    <row r="61" spans="1:9" x14ac:dyDescent="0.55000000000000004">
      <c r="A61" s="100"/>
      <c r="B61" s="55"/>
      <c r="C61" s="55"/>
      <c r="E61" s="60"/>
      <c r="F61" s="58"/>
      <c r="G61" s="58"/>
      <c r="H61" s="59"/>
      <c r="I61" s="59"/>
    </row>
    <row r="62" spans="1:9" x14ac:dyDescent="0.55000000000000004">
      <c r="A62" s="100"/>
      <c r="B62" s="55"/>
      <c r="C62" s="55"/>
      <c r="E62" s="60"/>
      <c r="F62" s="58"/>
      <c r="G62" s="58"/>
      <c r="H62" s="59"/>
      <c r="I62" s="59"/>
    </row>
    <row r="63" spans="1:9" x14ac:dyDescent="0.55000000000000004">
      <c r="A63" s="100"/>
      <c r="B63" s="55"/>
      <c r="C63" s="55"/>
      <c r="E63" s="60"/>
      <c r="F63" s="58"/>
      <c r="G63" s="58"/>
      <c r="H63" s="59"/>
      <c r="I63" s="59"/>
    </row>
    <row r="64" spans="1:9" x14ac:dyDescent="0.55000000000000004">
      <c r="A64" s="100"/>
      <c r="B64" s="55"/>
      <c r="C64" s="55"/>
      <c r="E64" s="60"/>
      <c r="F64" s="58"/>
      <c r="G64" s="58"/>
      <c r="H64" s="59"/>
      <c r="I64" s="59"/>
    </row>
    <row r="65" spans="1:9" x14ac:dyDescent="0.55000000000000004">
      <c r="A65" s="100"/>
      <c r="B65" s="55"/>
      <c r="C65" s="55"/>
      <c r="E65" s="60"/>
      <c r="F65" s="58"/>
      <c r="G65" s="58"/>
      <c r="H65" s="59"/>
      <c r="I65" s="59"/>
    </row>
    <row r="66" spans="1:9" x14ac:dyDescent="0.55000000000000004">
      <c r="A66" s="100"/>
      <c r="B66" s="55"/>
      <c r="C66" s="55"/>
      <c r="E66" s="60"/>
      <c r="F66" s="58"/>
      <c r="G66" s="58"/>
      <c r="H66" s="58"/>
      <c r="I66" s="59"/>
    </row>
    <row r="67" spans="1:9" x14ac:dyDescent="0.55000000000000004">
      <c r="A67" s="100"/>
      <c r="B67" s="55"/>
      <c r="C67" s="55"/>
      <c r="E67" s="44"/>
      <c r="F67" s="58"/>
      <c r="G67" s="58"/>
      <c r="H67" s="59"/>
      <c r="I67" s="59"/>
    </row>
    <row r="68" spans="1:9" x14ac:dyDescent="0.55000000000000004">
      <c r="A68" s="100"/>
      <c r="B68" s="55"/>
      <c r="C68" s="55"/>
      <c r="E68" s="57"/>
      <c r="F68" s="58"/>
      <c r="G68" s="58"/>
      <c r="H68" s="59"/>
      <c r="I68" s="59"/>
    </row>
    <row r="69" spans="1:9" x14ac:dyDescent="0.55000000000000004">
      <c r="A69" s="100"/>
      <c r="B69" s="55"/>
      <c r="C69" s="55"/>
      <c r="E69" s="57"/>
      <c r="F69" s="58"/>
      <c r="G69" s="58"/>
      <c r="H69" s="59"/>
      <c r="I69" s="59"/>
    </row>
    <row r="70" spans="1:9" x14ac:dyDescent="0.55000000000000004">
      <c r="A70" s="100"/>
      <c r="B70" s="55"/>
      <c r="C70" s="55"/>
      <c r="E70" s="57"/>
      <c r="F70" s="58"/>
      <c r="G70" s="58"/>
      <c r="H70" s="59"/>
      <c r="I70" s="59"/>
    </row>
    <row r="71" spans="1:9" x14ac:dyDescent="0.55000000000000004">
      <c r="A71" s="100"/>
      <c r="B71" s="55"/>
      <c r="C71" s="55"/>
      <c r="E71" s="44"/>
      <c r="F71" s="58"/>
      <c r="G71" s="58"/>
      <c r="H71" s="59"/>
      <c r="I71" s="59"/>
    </row>
    <row r="72" spans="1:9" x14ac:dyDescent="0.55000000000000004">
      <c r="A72" s="100"/>
      <c r="B72" s="55"/>
      <c r="C72" s="55"/>
      <c r="E72" s="57"/>
      <c r="F72" s="58"/>
      <c r="G72" s="58"/>
      <c r="H72" s="59"/>
      <c r="I72" s="59"/>
    </row>
    <row r="73" spans="1:9" x14ac:dyDescent="0.55000000000000004">
      <c r="A73" s="100"/>
      <c r="B73" s="55"/>
      <c r="C73" s="55"/>
      <c r="E73" s="57"/>
      <c r="F73" s="58"/>
      <c r="G73" s="58"/>
      <c r="H73" s="59"/>
      <c r="I73" s="59"/>
    </row>
    <row r="74" spans="1:9" x14ac:dyDescent="0.55000000000000004">
      <c r="A74" s="100"/>
      <c r="B74" s="55"/>
      <c r="C74" s="55"/>
      <c r="E74" s="57"/>
      <c r="F74" s="58"/>
      <c r="G74" s="58"/>
      <c r="H74" s="59"/>
      <c r="I74" s="59"/>
    </row>
    <row r="75" spans="1:9" x14ac:dyDescent="0.55000000000000004">
      <c r="A75" s="100"/>
      <c r="B75" s="55"/>
      <c r="C75" s="55"/>
      <c r="E75" s="57"/>
      <c r="F75" s="58"/>
      <c r="G75" s="58"/>
      <c r="H75" s="59"/>
      <c r="I75" s="59"/>
    </row>
    <row r="76" spans="1:9" x14ac:dyDescent="0.55000000000000004">
      <c r="A76" s="100"/>
      <c r="B76" s="55"/>
      <c r="C76" s="55"/>
      <c r="E76" s="57"/>
      <c r="F76" s="58"/>
      <c r="G76" s="58"/>
      <c r="H76" s="59"/>
      <c r="I76" s="59"/>
    </row>
    <row r="77" spans="1:9" x14ac:dyDescent="0.55000000000000004">
      <c r="A77" s="100"/>
      <c r="B77" s="55"/>
      <c r="C77" s="55"/>
      <c r="E77" s="57"/>
      <c r="F77" s="58"/>
      <c r="G77" s="58"/>
      <c r="H77" s="59"/>
      <c r="I77" s="59"/>
    </row>
    <row r="78" spans="1:9" x14ac:dyDescent="0.55000000000000004">
      <c r="A78" s="100"/>
      <c r="B78" s="55"/>
      <c r="C78" s="55"/>
      <c r="E78" s="44"/>
      <c r="F78" s="58"/>
      <c r="G78" s="58"/>
      <c r="H78" s="59"/>
      <c r="I78" s="59"/>
    </row>
    <row r="79" spans="1:9" x14ac:dyDescent="0.55000000000000004">
      <c r="A79" s="100"/>
      <c r="B79" s="55"/>
      <c r="C79" s="55"/>
      <c r="E79" s="44"/>
      <c r="F79" s="58"/>
      <c r="G79" s="58"/>
      <c r="H79" s="59"/>
      <c r="I79" s="59"/>
    </row>
    <row r="80" spans="1:9" x14ac:dyDescent="0.55000000000000004">
      <c r="A80" s="100"/>
      <c r="B80" s="55"/>
      <c r="C80" s="55"/>
      <c r="E80" s="60"/>
      <c r="F80" s="58"/>
      <c r="G80" s="58"/>
      <c r="H80" s="59"/>
      <c r="I80" s="59"/>
    </row>
    <row r="81" spans="1:9" x14ac:dyDescent="0.55000000000000004">
      <c r="A81" s="100"/>
      <c r="B81" s="55"/>
      <c r="C81" s="55"/>
      <c r="E81" s="57"/>
      <c r="F81" s="58"/>
      <c r="G81" s="58"/>
      <c r="H81" s="59"/>
      <c r="I81" s="59"/>
    </row>
    <row r="82" spans="1:9" x14ac:dyDescent="0.55000000000000004">
      <c r="A82" s="100"/>
      <c r="B82" s="55"/>
      <c r="C82" s="55"/>
      <c r="E82" s="57"/>
      <c r="F82" s="58"/>
      <c r="G82" s="58"/>
      <c r="H82" s="59"/>
      <c r="I82" s="59"/>
    </row>
    <row r="83" spans="1:9" x14ac:dyDescent="0.55000000000000004">
      <c r="A83" s="100"/>
      <c r="B83" s="55"/>
      <c r="C83" s="55"/>
      <c r="E83" s="57"/>
      <c r="F83" s="58"/>
      <c r="G83" s="58"/>
      <c r="H83" s="59"/>
      <c r="I83" s="59"/>
    </row>
    <row r="84" spans="1:9" x14ac:dyDescent="0.55000000000000004">
      <c r="A84" s="100"/>
      <c r="B84" s="55"/>
      <c r="C84" s="55"/>
      <c r="E84" s="57"/>
      <c r="F84" s="58"/>
      <c r="G84" s="58"/>
      <c r="H84" s="59"/>
      <c r="I84" s="59"/>
    </row>
    <row r="85" spans="1:9" x14ac:dyDescent="0.55000000000000004">
      <c r="A85" s="100"/>
      <c r="B85" s="55"/>
      <c r="C85" s="55"/>
      <c r="E85" s="57"/>
      <c r="F85" s="58"/>
      <c r="G85" s="58"/>
      <c r="H85" s="59"/>
      <c r="I85" s="59"/>
    </row>
    <row r="86" spans="1:9" x14ac:dyDescent="0.55000000000000004">
      <c r="A86" s="100"/>
      <c r="B86" s="55"/>
      <c r="C86" s="55"/>
      <c r="D86" s="56"/>
      <c r="E86" s="57"/>
      <c r="F86" s="58"/>
      <c r="G86" s="58"/>
      <c r="H86" s="59"/>
      <c r="I86" s="59"/>
    </row>
    <row r="87" spans="1:9" x14ac:dyDescent="0.55000000000000004">
      <c r="A87" s="102"/>
      <c r="B87" s="51"/>
      <c r="C87" s="51"/>
      <c r="D87" s="49"/>
      <c r="E87" s="52"/>
      <c r="F87" s="50"/>
      <c r="G87" s="50"/>
      <c r="H87" s="53"/>
      <c r="I87" s="53"/>
    </row>
    <row r="88" spans="1:9" x14ac:dyDescent="0.55000000000000004">
      <c r="A88" s="97"/>
      <c r="B88" s="16"/>
      <c r="C88" s="16"/>
      <c r="E88" s="14"/>
      <c r="F88" s="19"/>
      <c r="G88" s="19"/>
      <c r="H88" s="17"/>
      <c r="I88" s="17"/>
    </row>
    <row r="89" spans="1:9" x14ac:dyDescent="0.55000000000000004">
      <c r="A89" s="97"/>
      <c r="B89" s="16"/>
      <c r="C89" s="16"/>
      <c r="E89" s="14"/>
      <c r="F89" s="19"/>
      <c r="G89" s="19"/>
      <c r="H89" s="17"/>
      <c r="I89" s="17"/>
    </row>
    <row r="90" spans="1:9" x14ac:dyDescent="0.55000000000000004">
      <c r="C90" s="11"/>
    </row>
    <row r="91" spans="1:9" x14ac:dyDescent="0.55000000000000004">
      <c r="C91" s="11"/>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'Supplier (COA)'!$H$3:$H$5</xm:f>
          </x14:formula1>
          <xm:sqref>C2:C91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K23"/>
  <sheetViews>
    <sheetView tabSelected="1" zoomScaleNormal="100" workbookViewId="0">
      <selection activeCell="F8" sqref="F8"/>
    </sheetView>
  </sheetViews>
  <sheetFormatPr defaultColWidth="8.7109375" defaultRowHeight="21.75" x14ac:dyDescent="0.55000000000000004"/>
  <cols>
    <col min="1" max="1" width="14.7109375" style="106" customWidth="1"/>
    <col min="2" max="2" width="11.42578125" style="67" customWidth="1"/>
    <col min="3" max="3" width="13.5703125" style="1" customWidth="1"/>
    <col min="4" max="4" width="21.42578125" style="1" customWidth="1"/>
    <col min="5" max="5" width="52.42578125" style="7" customWidth="1"/>
    <col min="6" max="6" width="15.7109375" style="8" customWidth="1"/>
    <col min="7" max="7" width="15.5703125" style="8" customWidth="1"/>
    <col min="8" max="8" width="18.140625" style="9" customWidth="1"/>
    <col min="9" max="9" width="14.7109375" style="9" bestFit="1" customWidth="1"/>
    <col min="10" max="10" width="19.140625" style="9" customWidth="1"/>
    <col min="11" max="11" width="10.85546875" style="9" bestFit="1" customWidth="1"/>
    <col min="12" max="16384" width="8.7109375" style="1"/>
  </cols>
  <sheetData>
    <row r="1" spans="1:11" s="7" customFormat="1" ht="22.5" thickBot="1" x14ac:dyDescent="0.6">
      <c r="A1" s="142" t="s">
        <v>1</v>
      </c>
      <c r="B1" s="143" t="s">
        <v>73</v>
      </c>
      <c r="C1" s="143" t="s">
        <v>70</v>
      </c>
      <c r="D1" s="144" t="s">
        <v>3</v>
      </c>
      <c r="E1" s="145" t="s">
        <v>4</v>
      </c>
      <c r="F1" s="146" t="s">
        <v>5</v>
      </c>
      <c r="G1" s="146" t="s">
        <v>6</v>
      </c>
      <c r="H1" s="146" t="s">
        <v>7</v>
      </c>
      <c r="I1" s="146" t="s">
        <v>8</v>
      </c>
      <c r="J1" s="146" t="s">
        <v>124</v>
      </c>
      <c r="K1" s="8"/>
    </row>
    <row r="2" spans="1:11" ht="22.5" thickTop="1" x14ac:dyDescent="0.55000000000000004">
      <c r="A2" s="147">
        <v>44409</v>
      </c>
      <c r="B2" s="148"/>
      <c r="C2" s="149" t="s">
        <v>5</v>
      </c>
      <c r="D2" s="150" t="s">
        <v>75</v>
      </c>
      <c r="E2" s="151" t="s">
        <v>5</v>
      </c>
      <c r="F2" s="152">
        <v>16740000</v>
      </c>
      <c r="G2" s="152"/>
      <c r="H2" s="152"/>
      <c r="I2" s="152">
        <f>'GBS Co, LTD Tricycle'!$F2+'GBS Co, LTD Tricycle'!$G2-'GBS Co, LTD Tricycle'!$H2</f>
        <v>16740000</v>
      </c>
      <c r="J2" s="152">
        <f>I2</f>
        <v>16740000</v>
      </c>
    </row>
    <row r="3" spans="1:11" x14ac:dyDescent="0.55000000000000004">
      <c r="A3" s="153"/>
      <c r="B3" s="154"/>
      <c r="C3" s="155"/>
      <c r="D3" s="156"/>
      <c r="E3" s="157"/>
      <c r="F3" s="141"/>
      <c r="G3" s="141"/>
      <c r="H3" s="158"/>
      <c r="I3" s="158"/>
      <c r="J3" s="141"/>
    </row>
    <row r="4" spans="1:11" x14ac:dyDescent="0.55000000000000004">
      <c r="A4" s="109"/>
      <c r="B4" s="95"/>
      <c r="C4" s="90"/>
      <c r="D4" s="91"/>
      <c r="E4" s="92"/>
      <c r="F4" s="93"/>
      <c r="G4" s="93"/>
      <c r="H4" s="94"/>
      <c r="I4" s="94"/>
    </row>
    <row r="5" spans="1:11" x14ac:dyDescent="0.55000000000000004">
      <c r="A5" s="108"/>
      <c r="B5" s="66"/>
      <c r="C5" s="55"/>
      <c r="E5" s="42"/>
      <c r="F5" s="58"/>
      <c r="G5" s="58"/>
      <c r="H5" s="59"/>
      <c r="I5" s="59"/>
    </row>
    <row r="6" spans="1:11" x14ac:dyDescent="0.55000000000000004">
      <c r="A6" s="107"/>
      <c r="B6" s="61"/>
      <c r="C6" s="45"/>
      <c r="E6" s="42"/>
      <c r="F6" s="47"/>
      <c r="G6" s="47"/>
      <c r="H6" s="48"/>
      <c r="I6" s="48"/>
    </row>
    <row r="7" spans="1:11" x14ac:dyDescent="0.55000000000000004">
      <c r="A7" s="107"/>
      <c r="B7" s="61"/>
      <c r="C7" s="45"/>
      <c r="E7" s="42"/>
      <c r="F7" s="47"/>
      <c r="G7" s="47"/>
      <c r="H7" s="48"/>
      <c r="I7" s="48"/>
    </row>
    <row r="8" spans="1:11" x14ac:dyDescent="0.55000000000000004">
      <c r="A8" s="108"/>
      <c r="B8" s="66"/>
      <c r="C8" s="55"/>
      <c r="E8" s="42"/>
      <c r="F8" s="58"/>
      <c r="G8" s="58"/>
      <c r="H8" s="59"/>
      <c r="I8" s="59"/>
    </row>
    <row r="9" spans="1:11" x14ac:dyDescent="0.55000000000000004">
      <c r="A9" s="110"/>
      <c r="B9" s="71"/>
      <c r="C9" s="72"/>
      <c r="E9" s="74"/>
      <c r="F9" s="70"/>
      <c r="G9" s="70"/>
      <c r="H9" s="75"/>
      <c r="I9" s="75"/>
    </row>
    <row r="10" spans="1:11" x14ac:dyDescent="0.55000000000000004">
      <c r="A10" s="110"/>
      <c r="B10" s="71"/>
      <c r="C10" s="72"/>
      <c r="E10" s="74"/>
      <c r="F10" s="70"/>
      <c r="G10" s="70"/>
      <c r="H10" s="75"/>
      <c r="I10" s="75"/>
    </row>
    <row r="11" spans="1:11" x14ac:dyDescent="0.55000000000000004">
      <c r="A11" s="110"/>
      <c r="B11" s="71"/>
      <c r="C11" s="72"/>
      <c r="E11" s="74"/>
      <c r="F11" s="70"/>
      <c r="G11" s="70"/>
      <c r="H11" s="75"/>
      <c r="I11" s="75"/>
    </row>
    <row r="12" spans="1:11" x14ac:dyDescent="0.55000000000000004">
      <c r="A12" s="110"/>
      <c r="B12" s="71"/>
      <c r="C12" s="72"/>
      <c r="E12" s="74"/>
      <c r="F12" s="70"/>
      <c r="G12" s="70"/>
      <c r="H12" s="75"/>
      <c r="I12" s="75"/>
    </row>
    <row r="13" spans="1:11" x14ac:dyDescent="0.55000000000000004">
      <c r="A13" s="110"/>
      <c r="B13" s="71"/>
      <c r="C13" s="72"/>
      <c r="D13" s="73"/>
      <c r="E13" s="74"/>
      <c r="F13" s="70"/>
      <c r="G13" s="70"/>
      <c r="H13" s="75"/>
      <c r="I13" s="75"/>
    </row>
    <row r="14" spans="1:11" x14ac:dyDescent="0.55000000000000004">
      <c r="A14" s="107"/>
      <c r="B14" s="54"/>
      <c r="C14" s="16"/>
      <c r="E14" s="41"/>
      <c r="F14" s="19"/>
      <c r="G14" s="19"/>
      <c r="H14" s="17"/>
      <c r="I14" s="17"/>
    </row>
    <row r="15" spans="1:11" x14ac:dyDescent="0.55000000000000004">
      <c r="A15" s="107"/>
      <c r="B15" s="54"/>
      <c r="C15" s="16"/>
      <c r="E15" s="41"/>
      <c r="F15" s="19"/>
      <c r="G15" s="19"/>
      <c r="H15" s="17"/>
      <c r="I15" s="17"/>
    </row>
    <row r="16" spans="1:11" x14ac:dyDescent="0.55000000000000004">
      <c r="A16" s="107"/>
      <c r="C16" s="16"/>
      <c r="E16" s="41"/>
      <c r="F16" s="19"/>
      <c r="G16" s="19"/>
      <c r="H16" s="17"/>
      <c r="I16" s="17"/>
    </row>
    <row r="17" spans="1:9" x14ac:dyDescent="0.55000000000000004">
      <c r="A17" s="107"/>
      <c r="B17" s="54"/>
      <c r="C17" s="16"/>
      <c r="E17" s="41"/>
      <c r="F17" s="19"/>
      <c r="G17" s="19"/>
      <c r="H17" s="17"/>
      <c r="I17" s="17"/>
    </row>
    <row r="18" spans="1:9" x14ac:dyDescent="0.55000000000000004">
      <c r="A18" s="107"/>
      <c r="B18" s="54"/>
      <c r="C18" s="16"/>
      <c r="E18" s="41"/>
      <c r="F18" s="19"/>
      <c r="G18" s="19"/>
      <c r="H18" s="17"/>
      <c r="I18" s="17"/>
    </row>
    <row r="19" spans="1:9" x14ac:dyDescent="0.55000000000000004">
      <c r="A19" s="107"/>
      <c r="B19" s="54"/>
      <c r="C19" s="16"/>
      <c r="E19" s="42"/>
      <c r="F19" s="19"/>
      <c r="G19" s="19"/>
      <c r="H19" s="17"/>
      <c r="I19" s="17"/>
    </row>
    <row r="20" spans="1:9" x14ac:dyDescent="0.55000000000000004">
      <c r="A20" s="111"/>
      <c r="B20" s="61"/>
      <c r="C20" s="45"/>
      <c r="D20" s="46"/>
      <c r="E20" s="42"/>
      <c r="F20" s="47"/>
      <c r="G20" s="47"/>
      <c r="H20" s="48"/>
      <c r="I20" s="48"/>
    </row>
    <row r="21" spans="1:9" x14ac:dyDescent="0.55000000000000004">
      <c r="A21" s="107"/>
      <c r="B21" s="54"/>
      <c r="C21" s="16"/>
      <c r="E21" s="14"/>
      <c r="F21" s="19"/>
      <c r="G21" s="19"/>
      <c r="H21" s="17"/>
      <c r="I21" s="17"/>
    </row>
    <row r="22" spans="1:9" x14ac:dyDescent="0.55000000000000004">
      <c r="C22" s="11"/>
    </row>
    <row r="23" spans="1:9" x14ac:dyDescent="0.55000000000000004">
      <c r="C23" s="11"/>
    </row>
  </sheetData>
  <phoneticPr fontId="11" type="noConversion"/>
  <pageMargins left="0.7" right="0.7" top="0.75" bottom="0.75" header="0.3" footer="0.3"/>
  <pageSetup paperSize="9" orientation="portrait" verticalDpi="0"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'Supplier (COA)'!$H$3:$H$5</xm:f>
          </x14:formula1>
          <xm:sqref>C2:C48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K20"/>
  <sheetViews>
    <sheetView zoomScaleNormal="100" workbookViewId="0">
      <selection activeCell="J1" sqref="J1"/>
    </sheetView>
  </sheetViews>
  <sheetFormatPr defaultColWidth="8.7109375" defaultRowHeight="21.75" x14ac:dyDescent="0.55000000000000004"/>
  <cols>
    <col min="1" max="1" width="14.7109375" style="96" customWidth="1"/>
    <col min="2" max="2" width="12.7109375" style="67" customWidth="1"/>
    <col min="3" max="3" width="13" style="1" customWidth="1"/>
    <col min="4" max="4" width="26.140625" style="1" customWidth="1"/>
    <col min="5" max="5" width="31" style="7" customWidth="1"/>
    <col min="6" max="6" width="17.5703125" style="8" bestFit="1" customWidth="1"/>
    <col min="7" max="7" width="18.42578125" style="8" customWidth="1"/>
    <col min="8" max="8" width="17.28515625" style="9" customWidth="1"/>
    <col min="9" max="9" width="13.85546875" style="9" customWidth="1"/>
    <col min="10" max="10" width="15" style="9" customWidth="1"/>
    <col min="11" max="11" width="10.85546875" style="9" bestFit="1" customWidth="1"/>
    <col min="12" max="16384" width="8.7109375" style="1"/>
  </cols>
  <sheetData>
    <row r="1" spans="1:11" s="7" customFormat="1" x14ac:dyDescent="0.55000000000000004">
      <c r="A1" s="96" t="s">
        <v>1</v>
      </c>
      <c r="B1" s="11" t="s">
        <v>73</v>
      </c>
      <c r="C1" s="11" t="s">
        <v>70</v>
      </c>
      <c r="D1" s="1" t="s">
        <v>3</v>
      </c>
      <c r="E1" s="7" t="s">
        <v>4</v>
      </c>
      <c r="F1" s="8" t="s">
        <v>5</v>
      </c>
      <c r="G1" s="8" t="s">
        <v>6</v>
      </c>
      <c r="H1" s="8" t="s">
        <v>7</v>
      </c>
      <c r="I1" s="8" t="s">
        <v>8</v>
      </c>
      <c r="J1" s="129" t="s">
        <v>124</v>
      </c>
      <c r="K1" s="8"/>
    </row>
    <row r="2" spans="1:11" x14ac:dyDescent="0.55000000000000004">
      <c r="A2" s="97">
        <v>44409</v>
      </c>
      <c r="B2" s="54"/>
      <c r="C2" s="16" t="s">
        <v>5</v>
      </c>
      <c r="D2" s="1" t="s">
        <v>74</v>
      </c>
      <c r="E2" s="14" t="s">
        <v>5</v>
      </c>
      <c r="F2" s="19">
        <v>1090960</v>
      </c>
      <c r="G2" s="19"/>
      <c r="H2" s="17"/>
      <c r="I2" s="17">
        <f>DTL[[#This Row],[Opening]]+DTL[[#This Row],[Purchase]]-DTL[[#This Row],[Payment]]</f>
        <v>1090960</v>
      </c>
      <c r="J2" s="129">
        <f>DTL[Balance]</f>
        <v>1090960</v>
      </c>
    </row>
    <row r="3" spans="1:11" x14ac:dyDescent="0.55000000000000004">
      <c r="A3" s="98"/>
      <c r="B3" s="95"/>
      <c r="C3" s="90"/>
      <c r="D3" s="91"/>
      <c r="E3" s="92"/>
      <c r="F3" s="93"/>
      <c r="G3" s="93"/>
      <c r="H3" s="94"/>
      <c r="I3" s="94"/>
    </row>
    <row r="4" spans="1:11" x14ac:dyDescent="0.55000000000000004">
      <c r="A4" s="97"/>
      <c r="B4" s="54"/>
      <c r="C4" s="16"/>
      <c r="E4" s="87"/>
      <c r="F4" s="19"/>
      <c r="G4" s="19"/>
      <c r="H4" s="17"/>
      <c r="I4" s="17"/>
    </row>
    <row r="5" spans="1:11" x14ac:dyDescent="0.55000000000000004">
      <c r="A5" s="99"/>
      <c r="B5" s="89"/>
      <c r="C5" s="82"/>
      <c r="E5" s="87"/>
      <c r="F5" s="84"/>
      <c r="G5" s="84"/>
      <c r="H5" s="85"/>
      <c r="I5" s="85"/>
    </row>
    <row r="6" spans="1:11" x14ac:dyDescent="0.55000000000000004">
      <c r="A6" s="99"/>
      <c r="B6" s="89"/>
      <c r="C6" s="82"/>
      <c r="D6" s="86"/>
      <c r="E6" s="87"/>
      <c r="F6" s="84"/>
      <c r="G6" s="84"/>
      <c r="H6" s="85"/>
      <c r="I6" s="85"/>
    </row>
    <row r="7" spans="1:11" x14ac:dyDescent="0.55000000000000004">
      <c r="A7" s="99"/>
      <c r="B7" s="89"/>
      <c r="C7" s="82"/>
      <c r="D7" s="86"/>
      <c r="E7" s="87"/>
      <c r="F7" s="84"/>
      <c r="G7" s="84"/>
      <c r="H7" s="85"/>
      <c r="I7" s="85"/>
    </row>
    <row r="8" spans="1:11" x14ac:dyDescent="0.55000000000000004">
      <c r="A8" s="99"/>
      <c r="B8" s="89"/>
      <c r="C8" s="82"/>
      <c r="D8" s="86"/>
      <c r="E8" s="87"/>
      <c r="F8" s="84"/>
      <c r="G8" s="84"/>
      <c r="H8" s="85"/>
      <c r="I8" s="85"/>
    </row>
    <row r="9" spans="1:11" x14ac:dyDescent="0.55000000000000004">
      <c r="A9" s="100"/>
      <c r="B9" s="66"/>
      <c r="C9" s="55"/>
      <c r="E9" s="44"/>
      <c r="F9" s="58"/>
      <c r="G9" s="59"/>
      <c r="H9" s="59"/>
      <c r="I9" s="59"/>
    </row>
    <row r="10" spans="1:11" x14ac:dyDescent="0.55000000000000004">
      <c r="A10" s="101"/>
      <c r="B10" s="61"/>
      <c r="C10" s="45"/>
      <c r="D10" s="46"/>
      <c r="E10" s="44"/>
      <c r="F10" s="47"/>
      <c r="G10" s="47"/>
      <c r="H10" s="48"/>
      <c r="I10" s="48"/>
    </row>
    <row r="11" spans="1:11" x14ac:dyDescent="0.55000000000000004">
      <c r="A11" s="97"/>
      <c r="B11" s="54"/>
      <c r="C11" s="16"/>
      <c r="E11" s="42"/>
      <c r="F11" s="19"/>
      <c r="G11" s="17"/>
      <c r="H11" s="17"/>
      <c r="I11" s="17"/>
    </row>
    <row r="12" spans="1:11" x14ac:dyDescent="0.55000000000000004">
      <c r="A12" s="97"/>
      <c r="B12" s="54"/>
      <c r="C12" s="16"/>
      <c r="E12" s="42"/>
      <c r="F12" s="19"/>
      <c r="G12" s="19"/>
      <c r="H12" s="17"/>
      <c r="I12" s="17"/>
    </row>
    <row r="13" spans="1:11" x14ac:dyDescent="0.55000000000000004">
      <c r="A13" s="102"/>
      <c r="B13" s="54"/>
      <c r="C13" s="51"/>
      <c r="E13" s="52"/>
      <c r="F13" s="50"/>
      <c r="G13" s="50"/>
      <c r="H13" s="53"/>
      <c r="I13" s="53"/>
    </row>
    <row r="14" spans="1:11" x14ac:dyDescent="0.55000000000000004">
      <c r="A14" s="102"/>
      <c r="B14" s="68"/>
      <c r="C14" s="51"/>
      <c r="D14" s="49"/>
      <c r="E14" s="52"/>
      <c r="F14" s="50"/>
      <c r="G14" s="50"/>
      <c r="H14" s="53"/>
      <c r="I14" s="53"/>
    </row>
    <row r="15" spans="1:11" x14ac:dyDescent="0.55000000000000004">
      <c r="A15" s="97"/>
      <c r="B15" s="54"/>
      <c r="C15" s="16"/>
      <c r="E15" s="14"/>
      <c r="F15" s="19"/>
      <c r="G15" s="19"/>
      <c r="H15" s="17"/>
      <c r="I15" s="17"/>
    </row>
    <row r="16" spans="1:11" x14ac:dyDescent="0.55000000000000004">
      <c r="A16" s="97"/>
      <c r="B16" s="54"/>
      <c r="C16" s="16"/>
      <c r="E16" s="14"/>
      <c r="F16" s="19"/>
      <c r="G16" s="19"/>
      <c r="H16" s="17"/>
      <c r="I16" s="17"/>
    </row>
    <row r="17" spans="1:9" x14ac:dyDescent="0.55000000000000004">
      <c r="A17" s="97"/>
      <c r="B17" s="54"/>
      <c r="C17" s="16"/>
      <c r="E17" s="14"/>
      <c r="F17" s="19"/>
      <c r="G17" s="19"/>
      <c r="H17" s="17"/>
      <c r="I17" s="17"/>
    </row>
    <row r="18" spans="1:9" x14ac:dyDescent="0.55000000000000004">
      <c r="A18" s="97"/>
      <c r="B18" s="54"/>
      <c r="C18" s="16"/>
      <c r="E18" s="14"/>
      <c r="F18" s="19"/>
      <c r="G18" s="19"/>
      <c r="H18" s="17"/>
      <c r="I18" s="17"/>
    </row>
    <row r="19" spans="1:9" x14ac:dyDescent="0.55000000000000004">
      <c r="C19" s="11"/>
    </row>
    <row r="20" spans="1:9" x14ac:dyDescent="0.55000000000000004">
      <c r="C20" s="11"/>
    </row>
  </sheetData>
  <pageMargins left="0.7" right="0.7" top="0.75" bottom="0.75" header="0.3" footer="0.3"/>
  <pageSetup paperSize="9" orientation="portrait" verticalDpi="0"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'Supplier (COA)'!$H$3:$H$5</xm:f>
          </x14:formula1>
          <xm:sqref>C2:C47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32"/>
  <sheetViews>
    <sheetView topLeftCell="F1" zoomScaleNormal="100" workbookViewId="0">
      <selection activeCell="J2" sqref="J2"/>
    </sheetView>
  </sheetViews>
  <sheetFormatPr defaultColWidth="8.7109375" defaultRowHeight="21.75" x14ac:dyDescent="0.55000000000000004"/>
  <cols>
    <col min="1" max="1" width="14.7109375" style="96" customWidth="1"/>
    <col min="2" max="2" width="12.28515625" style="64" customWidth="1"/>
    <col min="3" max="3" width="15.140625" style="1" customWidth="1"/>
    <col min="4" max="4" width="24.42578125" style="1" bestFit="1" customWidth="1"/>
    <col min="5" max="5" width="34.140625" style="7" customWidth="1"/>
    <col min="6" max="6" width="17.5703125" style="8" bestFit="1" customWidth="1"/>
    <col min="7" max="7" width="18.42578125" style="8" customWidth="1"/>
    <col min="8" max="8" width="19" style="9" customWidth="1"/>
    <col min="9" max="9" width="14.7109375" style="9" bestFit="1" customWidth="1"/>
    <col min="10" max="10" width="22.42578125" style="9" bestFit="1" customWidth="1"/>
    <col min="11" max="11" width="10.85546875" style="9" bestFit="1" customWidth="1"/>
    <col min="12" max="16384" width="8.7109375" style="1"/>
  </cols>
  <sheetData>
    <row r="1" spans="1:11" s="7" customFormat="1" ht="22.5" thickBot="1" x14ac:dyDescent="0.6">
      <c r="A1" s="159" t="s">
        <v>1</v>
      </c>
      <c r="B1" s="160" t="s">
        <v>73</v>
      </c>
      <c r="C1" s="143" t="s">
        <v>70</v>
      </c>
      <c r="D1" s="144" t="s">
        <v>3</v>
      </c>
      <c r="E1" s="145" t="s">
        <v>4</v>
      </c>
      <c r="F1" s="146" t="s">
        <v>5</v>
      </c>
      <c r="G1" s="146" t="s">
        <v>6</v>
      </c>
      <c r="H1" s="146" t="s">
        <v>7</v>
      </c>
      <c r="I1" s="146" t="s">
        <v>8</v>
      </c>
      <c r="J1" s="146" t="s">
        <v>124</v>
      </c>
      <c r="K1" s="8"/>
    </row>
    <row r="2" spans="1:11" ht="22.5" thickTop="1" x14ac:dyDescent="0.55000000000000004">
      <c r="A2" s="161">
        <v>44409</v>
      </c>
      <c r="B2" s="162"/>
      <c r="C2" s="149" t="s">
        <v>5</v>
      </c>
      <c r="D2" s="150" t="s">
        <v>76</v>
      </c>
      <c r="E2" s="151" t="s">
        <v>5</v>
      </c>
      <c r="F2" s="152">
        <v>983000</v>
      </c>
      <c r="G2" s="152"/>
      <c r="H2" s="163"/>
      <c r="I2" s="163">
        <f>'GBS Co, LTD Engine'!$F2+'GBS Co, LTD Engine'!$G2-'GBS Co, LTD Engine'!$H2</f>
        <v>983000</v>
      </c>
      <c r="J2" s="152">
        <f t="shared" ref="J2" si="0">I2</f>
        <v>983000</v>
      </c>
    </row>
    <row r="3" spans="1:11" x14ac:dyDescent="0.55000000000000004">
      <c r="A3" s="164"/>
      <c r="B3" s="165"/>
      <c r="C3" s="155"/>
      <c r="D3" s="156"/>
      <c r="E3" s="157"/>
      <c r="F3" s="141"/>
      <c r="G3" s="141"/>
      <c r="H3" s="158"/>
      <c r="I3" s="158"/>
      <c r="J3" s="141"/>
    </row>
    <row r="4" spans="1:11" x14ac:dyDescent="0.55000000000000004">
      <c r="A4" s="99"/>
      <c r="B4" s="88"/>
      <c r="C4" s="82"/>
      <c r="E4" s="42"/>
      <c r="F4" s="84"/>
      <c r="G4" s="84"/>
      <c r="H4" s="85"/>
      <c r="I4" s="85"/>
    </row>
    <row r="5" spans="1:11" x14ac:dyDescent="0.55000000000000004">
      <c r="A5" s="99"/>
      <c r="B5" s="88"/>
      <c r="C5" s="82"/>
      <c r="E5" s="83"/>
      <c r="F5" s="84"/>
      <c r="G5" s="84"/>
      <c r="H5" s="85"/>
      <c r="I5" s="85"/>
    </row>
    <row r="6" spans="1:11" x14ac:dyDescent="0.55000000000000004">
      <c r="A6" s="99"/>
      <c r="B6" s="88"/>
      <c r="C6" s="82"/>
      <c r="D6" s="86"/>
      <c r="E6" s="83"/>
      <c r="F6" s="84"/>
      <c r="G6" s="84"/>
      <c r="H6" s="85"/>
      <c r="I6" s="85"/>
    </row>
    <row r="7" spans="1:11" x14ac:dyDescent="0.55000000000000004">
      <c r="A7" s="100"/>
      <c r="B7" s="62"/>
      <c r="C7" s="55"/>
      <c r="E7" s="57"/>
      <c r="F7" s="58"/>
      <c r="G7" s="58"/>
      <c r="H7" s="59"/>
      <c r="I7" s="59"/>
    </row>
    <row r="8" spans="1:11" x14ac:dyDescent="0.55000000000000004">
      <c r="A8" s="100"/>
      <c r="B8" s="62"/>
      <c r="C8" s="55"/>
      <c r="E8" s="57"/>
      <c r="F8" s="58"/>
      <c r="G8" s="58"/>
      <c r="H8" s="59"/>
      <c r="I8" s="59"/>
    </row>
    <row r="9" spans="1:11" x14ac:dyDescent="0.55000000000000004">
      <c r="A9" s="100"/>
      <c r="B9" s="62"/>
      <c r="C9" s="55"/>
      <c r="E9" s="57"/>
      <c r="F9" s="58"/>
      <c r="G9" s="58"/>
      <c r="H9" s="59"/>
      <c r="I9" s="59"/>
    </row>
    <row r="10" spans="1:11" x14ac:dyDescent="0.55000000000000004">
      <c r="A10" s="100"/>
      <c r="B10" s="62"/>
      <c r="C10" s="55"/>
      <c r="E10" s="57"/>
      <c r="F10" s="58"/>
      <c r="G10" s="58"/>
      <c r="H10" s="59"/>
      <c r="I10" s="59"/>
    </row>
    <row r="11" spans="1:11" x14ac:dyDescent="0.55000000000000004">
      <c r="A11" s="100"/>
      <c r="B11" s="62"/>
      <c r="C11" s="55"/>
      <c r="E11" s="42"/>
      <c r="F11" s="58"/>
      <c r="G11" s="58"/>
      <c r="H11" s="59"/>
      <c r="I11" s="59"/>
    </row>
    <row r="12" spans="1:11" x14ac:dyDescent="0.55000000000000004">
      <c r="A12" s="101"/>
      <c r="B12" s="65"/>
      <c r="C12" s="55"/>
      <c r="E12" s="57"/>
      <c r="F12" s="47"/>
      <c r="G12" s="47"/>
      <c r="H12" s="48"/>
      <c r="I12" s="48"/>
    </row>
    <row r="13" spans="1:11" x14ac:dyDescent="0.55000000000000004">
      <c r="A13" s="100"/>
      <c r="B13" s="62"/>
      <c r="C13" s="55"/>
      <c r="E13" s="42"/>
      <c r="F13" s="58"/>
      <c r="G13" s="58"/>
      <c r="H13" s="59"/>
      <c r="I13" s="59"/>
    </row>
    <row r="14" spans="1:11" x14ac:dyDescent="0.55000000000000004">
      <c r="A14" s="100"/>
      <c r="B14" s="62"/>
      <c r="C14" s="55"/>
      <c r="E14" s="57"/>
      <c r="F14" s="58"/>
      <c r="G14" s="58"/>
      <c r="H14" s="59"/>
      <c r="I14" s="59"/>
    </row>
    <row r="15" spans="1:11" x14ac:dyDescent="0.55000000000000004">
      <c r="A15" s="100"/>
      <c r="B15" s="62"/>
      <c r="C15" s="55"/>
      <c r="E15" s="42"/>
      <c r="F15" s="58"/>
      <c r="G15" s="58"/>
      <c r="H15" s="59"/>
      <c r="I15" s="59"/>
    </row>
    <row r="16" spans="1:11" x14ac:dyDescent="0.55000000000000004">
      <c r="A16" s="100"/>
      <c r="B16" s="62"/>
      <c r="C16" s="55"/>
      <c r="E16" s="57"/>
      <c r="F16" s="58"/>
      <c r="G16" s="58"/>
      <c r="H16" s="59"/>
      <c r="I16" s="59"/>
    </row>
    <row r="17" spans="1:9" x14ac:dyDescent="0.55000000000000004">
      <c r="A17" s="100"/>
      <c r="B17" s="62"/>
      <c r="C17" s="55"/>
      <c r="E17" s="42"/>
      <c r="F17" s="58"/>
      <c r="G17" s="58"/>
      <c r="H17" s="59"/>
      <c r="I17" s="59"/>
    </row>
    <row r="18" spans="1:9" x14ac:dyDescent="0.55000000000000004">
      <c r="A18" s="100"/>
      <c r="B18" s="62"/>
      <c r="C18" s="55"/>
      <c r="E18" s="57"/>
      <c r="F18" s="58"/>
      <c r="G18" s="58"/>
      <c r="H18" s="59"/>
      <c r="I18" s="59"/>
    </row>
    <row r="19" spans="1:9" x14ac:dyDescent="0.55000000000000004">
      <c r="A19" s="100"/>
      <c r="B19" s="62"/>
      <c r="C19" s="55"/>
      <c r="E19" s="42"/>
      <c r="F19" s="58"/>
      <c r="G19" s="58"/>
      <c r="H19" s="59"/>
      <c r="I19" s="59"/>
    </row>
    <row r="20" spans="1:9" x14ac:dyDescent="0.55000000000000004">
      <c r="A20" s="100"/>
      <c r="B20" s="62"/>
      <c r="C20" s="55"/>
      <c r="E20" s="57"/>
      <c r="F20" s="58"/>
      <c r="G20" s="58"/>
      <c r="H20" s="59"/>
      <c r="I20" s="59"/>
    </row>
    <row r="21" spans="1:9" x14ac:dyDescent="0.55000000000000004">
      <c r="A21" s="100"/>
      <c r="B21" s="62"/>
      <c r="C21" s="55"/>
      <c r="E21" s="42"/>
      <c r="F21" s="58"/>
      <c r="G21" s="58"/>
      <c r="H21" s="59"/>
      <c r="I21" s="59"/>
    </row>
    <row r="22" spans="1:9" x14ac:dyDescent="0.55000000000000004">
      <c r="A22" s="100"/>
      <c r="B22" s="62"/>
      <c r="C22" s="55"/>
      <c r="E22" s="57"/>
      <c r="F22" s="58"/>
      <c r="G22" s="58"/>
      <c r="H22" s="59"/>
      <c r="I22" s="59"/>
    </row>
    <row r="23" spans="1:9" x14ac:dyDescent="0.55000000000000004">
      <c r="A23" s="105"/>
      <c r="B23" s="76"/>
      <c r="C23" s="77"/>
      <c r="D23" s="78"/>
      <c r="E23" s="79"/>
      <c r="F23" s="80"/>
      <c r="G23" s="80"/>
      <c r="H23" s="81"/>
      <c r="I23" s="81"/>
    </row>
    <row r="24" spans="1:9" x14ac:dyDescent="0.55000000000000004">
      <c r="A24" s="101"/>
      <c r="B24" s="63"/>
      <c r="C24" s="45"/>
      <c r="D24" s="46"/>
      <c r="E24" s="42"/>
      <c r="F24" s="47"/>
      <c r="G24" s="47"/>
      <c r="H24" s="48"/>
      <c r="I24" s="48"/>
    </row>
    <row r="25" spans="1:9" x14ac:dyDescent="0.55000000000000004">
      <c r="A25" s="97"/>
      <c r="B25" s="43"/>
      <c r="C25" s="16"/>
      <c r="E25" s="14"/>
      <c r="F25" s="19"/>
      <c r="G25" s="19"/>
      <c r="H25" s="17"/>
      <c r="I25" s="17"/>
    </row>
    <row r="26" spans="1:9" x14ac:dyDescent="0.55000000000000004">
      <c r="A26" s="97"/>
      <c r="B26" s="43"/>
      <c r="C26" s="16"/>
      <c r="E26" s="14"/>
      <c r="F26" s="19"/>
      <c r="G26" s="19"/>
      <c r="H26" s="17"/>
      <c r="I26" s="17"/>
    </row>
    <row r="27" spans="1:9" x14ac:dyDescent="0.55000000000000004">
      <c r="A27" s="97"/>
      <c r="B27" s="43"/>
      <c r="C27" s="16"/>
      <c r="E27" s="14"/>
      <c r="F27" s="19"/>
      <c r="G27" s="19"/>
      <c r="H27" s="17"/>
      <c r="I27" s="17"/>
    </row>
    <row r="28" spans="1:9" x14ac:dyDescent="0.55000000000000004">
      <c r="A28" s="97"/>
      <c r="B28" s="43"/>
      <c r="C28" s="16"/>
      <c r="E28" s="14"/>
      <c r="F28" s="19"/>
      <c r="G28" s="19"/>
      <c r="H28" s="17"/>
      <c r="I28" s="17"/>
    </row>
    <row r="29" spans="1:9" x14ac:dyDescent="0.55000000000000004">
      <c r="A29" s="97"/>
      <c r="B29" s="43"/>
      <c r="C29" s="16"/>
      <c r="E29" s="14"/>
      <c r="F29" s="19"/>
      <c r="G29" s="19"/>
      <c r="H29" s="17"/>
      <c r="I29" s="17"/>
    </row>
    <row r="30" spans="1:9" x14ac:dyDescent="0.55000000000000004">
      <c r="A30" s="97"/>
      <c r="B30" s="43"/>
      <c r="C30" s="16"/>
      <c r="E30" s="14"/>
      <c r="F30" s="19"/>
      <c r="G30" s="19"/>
      <c r="H30" s="17"/>
      <c r="I30" s="17"/>
    </row>
    <row r="31" spans="1:9" x14ac:dyDescent="0.55000000000000004">
      <c r="C31" s="11"/>
    </row>
    <row r="32" spans="1:9" x14ac:dyDescent="0.55000000000000004">
      <c r="C32" s="11"/>
    </row>
  </sheetData>
  <pageMargins left="0.7" right="0.7" top="0.75" bottom="0.75" header="0.3" footer="0.3"/>
  <pageSetup paperSize="9" orientation="portrait" verticalDpi="0"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'Supplier (COA)'!$H$3:$H$5</xm:f>
          </x14:formula1>
          <xm:sqref>C2:C36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40"/>
  <sheetViews>
    <sheetView zoomScaleNormal="100" workbookViewId="0">
      <selection activeCell="J1" sqref="J1"/>
    </sheetView>
  </sheetViews>
  <sheetFormatPr defaultColWidth="8.7109375" defaultRowHeight="21.75" x14ac:dyDescent="0.55000000000000004"/>
  <cols>
    <col min="1" max="1" width="14.7109375" style="96" customWidth="1"/>
    <col min="2" max="2" width="12.28515625" style="11" customWidth="1"/>
    <col min="3" max="3" width="15.5703125" style="1" customWidth="1"/>
    <col min="4" max="4" width="24.42578125" style="1" bestFit="1" customWidth="1"/>
    <col min="5" max="5" width="36.140625" style="7" customWidth="1"/>
    <col min="6" max="6" width="13.42578125" style="8" customWidth="1"/>
    <col min="7" max="7" width="15" style="8" customWidth="1"/>
    <col min="8" max="8" width="15.42578125" style="9" customWidth="1"/>
    <col min="9" max="9" width="14.7109375" style="9" bestFit="1" customWidth="1"/>
    <col min="10" max="10" width="17.5703125" style="9" customWidth="1"/>
    <col min="11" max="11" width="10.85546875" style="9" bestFit="1" customWidth="1"/>
    <col min="12" max="16384" width="8.7109375" style="1"/>
  </cols>
  <sheetData>
    <row r="1" spans="1:11" s="7" customFormat="1" x14ac:dyDescent="0.55000000000000004">
      <c r="A1" s="96" t="s">
        <v>1</v>
      </c>
      <c r="B1" s="11" t="s">
        <v>73</v>
      </c>
      <c r="C1" s="11" t="s">
        <v>70</v>
      </c>
      <c r="D1" s="1" t="s">
        <v>3</v>
      </c>
      <c r="E1" s="7" t="s">
        <v>4</v>
      </c>
      <c r="F1" s="8" t="s">
        <v>5</v>
      </c>
      <c r="G1" s="8" t="s">
        <v>6</v>
      </c>
      <c r="H1" s="8" t="s">
        <v>7</v>
      </c>
      <c r="I1" s="8" t="s">
        <v>8</v>
      </c>
      <c r="J1" s="129" t="s">
        <v>124</v>
      </c>
      <c r="K1" s="8"/>
    </row>
    <row r="2" spans="1:11" x14ac:dyDescent="0.55000000000000004">
      <c r="A2" s="97">
        <v>44409</v>
      </c>
      <c r="B2" s="16"/>
      <c r="C2" s="16" t="s">
        <v>5</v>
      </c>
      <c r="D2" s="1" t="s">
        <v>29</v>
      </c>
      <c r="E2" s="7" t="s">
        <v>5</v>
      </c>
      <c r="F2" s="19"/>
      <c r="G2" s="19"/>
      <c r="H2" s="17"/>
      <c r="I2" s="17">
        <f>GBS_SP[[#This Row],[Opening]]+GBS_SP[[#This Row],[Purchase]]-GBS_SP[[#This Row],[Payment]]</f>
        <v>0</v>
      </c>
      <c r="J2" s="129">
        <f>GBS_SP[Balance]</f>
        <v>0</v>
      </c>
    </row>
    <row r="3" spans="1:11" x14ac:dyDescent="0.55000000000000004">
      <c r="A3" s="97"/>
      <c r="B3" s="16"/>
      <c r="C3" s="16"/>
      <c r="E3" s="42"/>
      <c r="F3" s="19"/>
      <c r="G3" s="19"/>
      <c r="H3" s="17"/>
      <c r="I3" s="17"/>
    </row>
    <row r="4" spans="1:11" x14ac:dyDescent="0.55000000000000004">
      <c r="A4" s="99"/>
      <c r="B4" s="82"/>
      <c r="C4" s="82"/>
      <c r="E4" s="42"/>
      <c r="F4" s="84"/>
      <c r="G4" s="84"/>
      <c r="H4" s="85"/>
      <c r="I4" s="85"/>
    </row>
    <row r="5" spans="1:11" x14ac:dyDescent="0.55000000000000004">
      <c r="A5" s="99"/>
      <c r="B5" s="82"/>
      <c r="C5" s="82"/>
      <c r="D5" s="86"/>
      <c r="E5" s="83"/>
      <c r="F5" s="84"/>
      <c r="G5" s="84"/>
      <c r="H5" s="85"/>
      <c r="I5" s="85"/>
    </row>
    <row r="6" spans="1:11" x14ac:dyDescent="0.55000000000000004">
      <c r="A6" s="99"/>
      <c r="B6" s="82"/>
      <c r="C6" s="82"/>
      <c r="D6" s="86"/>
      <c r="E6" s="83"/>
      <c r="F6" s="84"/>
      <c r="G6" s="84"/>
      <c r="H6" s="85"/>
      <c r="I6" s="85"/>
    </row>
    <row r="7" spans="1:11" x14ac:dyDescent="0.55000000000000004">
      <c r="A7" s="100"/>
      <c r="B7" s="55"/>
      <c r="C7" s="55"/>
      <c r="E7" s="57"/>
      <c r="F7" s="58"/>
      <c r="G7" s="58"/>
      <c r="H7" s="59"/>
      <c r="I7" s="59"/>
    </row>
    <row r="8" spans="1:11" x14ac:dyDescent="0.55000000000000004">
      <c r="A8" s="100"/>
      <c r="B8" s="55"/>
      <c r="C8" s="55"/>
      <c r="E8" s="57"/>
      <c r="F8" s="58"/>
      <c r="G8" s="58"/>
      <c r="H8" s="59"/>
      <c r="I8" s="59"/>
    </row>
    <row r="9" spans="1:11" x14ac:dyDescent="0.55000000000000004">
      <c r="A9" s="100"/>
      <c r="B9" s="55"/>
      <c r="C9" s="55"/>
      <c r="E9" s="57"/>
      <c r="F9" s="58"/>
      <c r="G9" s="58"/>
      <c r="H9" s="59"/>
      <c r="I9" s="59"/>
    </row>
    <row r="10" spans="1:11" x14ac:dyDescent="0.55000000000000004">
      <c r="A10" s="100"/>
      <c r="B10" s="55"/>
      <c r="C10" s="55"/>
      <c r="E10" s="57"/>
      <c r="F10" s="58"/>
      <c r="G10" s="58"/>
      <c r="H10" s="59"/>
      <c r="I10" s="59"/>
    </row>
    <row r="11" spans="1:11" x14ac:dyDescent="0.55000000000000004">
      <c r="A11" s="100"/>
      <c r="B11" s="55"/>
      <c r="C11" s="55"/>
      <c r="E11" s="42"/>
      <c r="F11" s="58"/>
      <c r="G11" s="58"/>
      <c r="H11" s="59"/>
      <c r="I11" s="59"/>
    </row>
    <row r="12" spans="1:11" x14ac:dyDescent="0.55000000000000004">
      <c r="A12" s="101"/>
      <c r="B12" s="45"/>
      <c r="C12" s="45"/>
      <c r="E12" s="42"/>
      <c r="F12" s="47"/>
      <c r="G12" s="47"/>
      <c r="H12" s="48"/>
      <c r="I12" s="48"/>
    </row>
    <row r="13" spans="1:11" x14ac:dyDescent="0.55000000000000004">
      <c r="A13" s="100"/>
      <c r="B13" s="55"/>
      <c r="C13" s="55"/>
      <c r="E13" s="42"/>
      <c r="F13" s="58"/>
      <c r="G13" s="58"/>
      <c r="H13" s="59"/>
      <c r="I13" s="59"/>
    </row>
    <row r="14" spans="1:11" x14ac:dyDescent="0.55000000000000004">
      <c r="A14" s="100"/>
      <c r="B14" s="55"/>
      <c r="C14" s="55"/>
      <c r="E14" s="42"/>
      <c r="F14" s="58"/>
      <c r="G14" s="58"/>
      <c r="H14" s="59"/>
      <c r="I14" s="59"/>
    </row>
    <row r="15" spans="1:11" x14ac:dyDescent="0.55000000000000004">
      <c r="A15" s="100"/>
      <c r="B15" s="55"/>
      <c r="C15" s="55"/>
      <c r="E15" s="57"/>
      <c r="F15" s="58"/>
      <c r="G15" s="58"/>
      <c r="H15" s="59"/>
      <c r="I15" s="59"/>
    </row>
    <row r="16" spans="1:11" x14ac:dyDescent="0.55000000000000004">
      <c r="A16" s="100"/>
      <c r="B16" s="55"/>
      <c r="C16" s="55"/>
      <c r="E16" s="42"/>
      <c r="F16" s="58"/>
      <c r="G16" s="58"/>
      <c r="H16" s="59"/>
      <c r="I16" s="59"/>
    </row>
    <row r="17" spans="1:9" x14ac:dyDescent="0.55000000000000004">
      <c r="A17" s="100"/>
      <c r="B17" s="55"/>
      <c r="C17" s="55"/>
      <c r="E17" s="42"/>
      <c r="F17" s="58"/>
      <c r="G17" s="58"/>
      <c r="H17" s="59"/>
      <c r="I17" s="59"/>
    </row>
    <row r="18" spans="1:9" x14ac:dyDescent="0.55000000000000004">
      <c r="A18" s="100"/>
      <c r="B18" s="55"/>
      <c r="C18" s="55"/>
      <c r="E18" s="42"/>
      <c r="F18" s="58"/>
      <c r="G18" s="58"/>
      <c r="H18" s="59"/>
      <c r="I18" s="59"/>
    </row>
    <row r="19" spans="1:9" x14ac:dyDescent="0.55000000000000004">
      <c r="A19" s="100"/>
      <c r="B19" s="55"/>
      <c r="C19" s="55"/>
      <c r="E19" s="57"/>
      <c r="F19" s="58"/>
      <c r="G19" s="58"/>
      <c r="H19" s="59"/>
      <c r="I19" s="59"/>
    </row>
    <row r="20" spans="1:9" x14ac:dyDescent="0.55000000000000004">
      <c r="A20" s="100"/>
      <c r="B20" s="55"/>
      <c r="C20" s="55"/>
      <c r="E20" s="42"/>
      <c r="F20" s="58"/>
      <c r="G20" s="58"/>
      <c r="H20" s="59"/>
      <c r="I20" s="59"/>
    </row>
    <row r="21" spans="1:9" x14ac:dyDescent="0.55000000000000004">
      <c r="A21" s="100"/>
      <c r="B21" s="55"/>
      <c r="C21" s="55"/>
      <c r="D21" s="56"/>
      <c r="E21" s="57"/>
      <c r="F21" s="58"/>
      <c r="G21" s="58"/>
      <c r="H21" s="59"/>
      <c r="I21" s="59"/>
    </row>
    <row r="22" spans="1:9" x14ac:dyDescent="0.55000000000000004">
      <c r="A22" s="100"/>
      <c r="B22" s="55"/>
      <c r="C22" s="55"/>
      <c r="D22" s="56"/>
      <c r="E22" s="57"/>
      <c r="F22" s="58"/>
      <c r="G22" s="58"/>
      <c r="H22" s="59"/>
      <c r="I22" s="59"/>
    </row>
    <row r="23" spans="1:9" x14ac:dyDescent="0.55000000000000004">
      <c r="A23" s="100"/>
      <c r="B23" s="55"/>
      <c r="C23" s="55"/>
      <c r="D23" s="56"/>
      <c r="E23" s="57"/>
      <c r="F23" s="58"/>
      <c r="G23" s="58"/>
      <c r="H23" s="59"/>
      <c r="I23" s="59"/>
    </row>
    <row r="24" spans="1:9" x14ac:dyDescent="0.55000000000000004">
      <c r="A24" s="97"/>
      <c r="B24" s="16"/>
      <c r="C24" s="16"/>
      <c r="E24" s="42"/>
      <c r="F24" s="19"/>
      <c r="G24" s="19"/>
      <c r="H24" s="17"/>
      <c r="I24" s="17"/>
    </row>
    <row r="25" spans="1:9" x14ac:dyDescent="0.55000000000000004">
      <c r="A25" s="97"/>
      <c r="B25" s="16"/>
      <c r="C25" s="16"/>
      <c r="E25" s="42"/>
      <c r="F25" s="19"/>
      <c r="G25" s="19"/>
      <c r="H25" s="17"/>
      <c r="I25" s="17"/>
    </row>
    <row r="26" spans="1:9" x14ac:dyDescent="0.55000000000000004">
      <c r="A26" s="97"/>
      <c r="B26" s="16"/>
      <c r="C26" s="16"/>
      <c r="E26" s="42"/>
      <c r="F26" s="19"/>
      <c r="G26" s="19"/>
      <c r="H26" s="17"/>
      <c r="I26" s="17"/>
    </row>
    <row r="27" spans="1:9" x14ac:dyDescent="0.55000000000000004">
      <c r="A27" s="97"/>
      <c r="B27" s="16"/>
      <c r="C27" s="16"/>
      <c r="E27" s="42"/>
      <c r="F27" s="19"/>
      <c r="G27" s="19"/>
      <c r="H27" s="17"/>
      <c r="I27" s="17"/>
    </row>
    <row r="28" spans="1:9" x14ac:dyDescent="0.55000000000000004">
      <c r="A28" s="97"/>
      <c r="B28" s="16"/>
      <c r="C28" s="16"/>
      <c r="E28" s="42"/>
      <c r="F28" s="19"/>
      <c r="G28" s="19"/>
      <c r="H28" s="17"/>
      <c r="I28" s="17"/>
    </row>
    <row r="29" spans="1:9" x14ac:dyDescent="0.55000000000000004">
      <c r="A29" s="97"/>
      <c r="B29" s="16"/>
      <c r="C29" s="16"/>
      <c r="E29" s="42"/>
      <c r="F29" s="19"/>
      <c r="G29" s="19"/>
      <c r="H29" s="17"/>
      <c r="I29" s="17"/>
    </row>
    <row r="30" spans="1:9" x14ac:dyDescent="0.55000000000000004">
      <c r="A30" s="97"/>
      <c r="B30" s="16"/>
      <c r="C30" s="16"/>
      <c r="E30" s="42"/>
      <c r="F30" s="19"/>
      <c r="G30" s="19"/>
      <c r="H30" s="17"/>
      <c r="I30" s="17"/>
    </row>
    <row r="31" spans="1:9" x14ac:dyDescent="0.55000000000000004">
      <c r="A31" s="97"/>
      <c r="B31" s="16"/>
      <c r="C31" s="16"/>
      <c r="E31" s="42"/>
      <c r="F31" s="19"/>
      <c r="G31" s="19"/>
      <c r="H31" s="17"/>
      <c r="I31" s="17"/>
    </row>
    <row r="32" spans="1:9" x14ac:dyDescent="0.55000000000000004">
      <c r="A32" s="97"/>
      <c r="B32" s="16"/>
      <c r="C32" s="16"/>
      <c r="E32" s="42"/>
      <c r="F32" s="19"/>
      <c r="G32" s="19"/>
      <c r="H32" s="17"/>
      <c r="I32" s="17"/>
    </row>
    <row r="33" spans="1:9" x14ac:dyDescent="0.55000000000000004">
      <c r="A33" s="102"/>
      <c r="B33" s="51"/>
      <c r="C33" s="51"/>
      <c r="E33" s="52"/>
      <c r="F33" s="50"/>
      <c r="G33" s="50"/>
      <c r="H33" s="53"/>
      <c r="I33" s="53"/>
    </row>
    <row r="34" spans="1:9" x14ac:dyDescent="0.55000000000000004">
      <c r="A34" s="102"/>
      <c r="B34" s="51"/>
      <c r="C34" s="51"/>
      <c r="E34" s="52"/>
      <c r="F34" s="50"/>
      <c r="G34" s="50"/>
      <c r="H34" s="53"/>
      <c r="I34" s="53"/>
    </row>
    <row r="35" spans="1:9" x14ac:dyDescent="0.55000000000000004">
      <c r="A35" s="102"/>
      <c r="B35" s="51"/>
      <c r="C35" s="51"/>
      <c r="E35" s="52"/>
      <c r="F35" s="50"/>
      <c r="G35" s="50"/>
      <c r="H35" s="53"/>
      <c r="I35" s="53"/>
    </row>
    <row r="36" spans="1:9" x14ac:dyDescent="0.55000000000000004">
      <c r="A36" s="102"/>
      <c r="B36" s="51"/>
      <c r="C36" s="51"/>
      <c r="E36" s="42"/>
      <c r="F36" s="50"/>
      <c r="G36" s="50"/>
      <c r="H36" s="53"/>
      <c r="I36" s="53"/>
    </row>
    <row r="37" spans="1:9" x14ac:dyDescent="0.55000000000000004">
      <c r="A37" s="101"/>
      <c r="B37" s="45"/>
      <c r="C37" s="45"/>
      <c r="E37" s="42"/>
      <c r="F37" s="47"/>
      <c r="G37" s="47"/>
      <c r="H37" s="48"/>
      <c r="I37" s="48"/>
    </row>
    <row r="38" spans="1:9" x14ac:dyDescent="0.55000000000000004">
      <c r="A38" s="101"/>
      <c r="B38" s="45"/>
      <c r="C38" s="45"/>
      <c r="D38" s="46"/>
      <c r="E38" s="42"/>
      <c r="F38" s="47"/>
      <c r="G38" s="47"/>
      <c r="H38" s="48"/>
      <c r="I38" s="48"/>
    </row>
    <row r="39" spans="1:9" x14ac:dyDescent="0.55000000000000004">
      <c r="C39" s="11"/>
    </row>
    <row r="40" spans="1:9" x14ac:dyDescent="0.55000000000000004">
      <c r="C40" s="11"/>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'Supplier (COA)'!$H$3:$H$5</xm:f>
          </x14:formula1>
          <xm:sqref>C2:C45</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34"/>
  <sheetViews>
    <sheetView zoomScaleNormal="100" workbookViewId="0">
      <selection activeCell="J1" sqref="J1"/>
    </sheetView>
  </sheetViews>
  <sheetFormatPr defaultColWidth="8.7109375" defaultRowHeight="21.75" x14ac:dyDescent="0.55000000000000004"/>
  <cols>
    <col min="1" max="1" width="14.7109375" style="96" customWidth="1"/>
    <col min="2" max="2" width="12.28515625" style="11" customWidth="1"/>
    <col min="3" max="3" width="13.42578125" style="1" customWidth="1"/>
    <col min="4" max="4" width="24.42578125" style="1" bestFit="1" customWidth="1"/>
    <col min="5" max="5" width="31.85546875" style="7" customWidth="1"/>
    <col min="6" max="6" width="12.7109375" style="8" customWidth="1"/>
    <col min="7" max="7" width="15.140625" style="8" customWidth="1"/>
    <col min="8" max="8" width="15.140625" style="9" customWidth="1"/>
    <col min="9" max="9" width="14.7109375" style="9" bestFit="1" customWidth="1"/>
    <col min="10" max="10" width="16.5703125" style="9" customWidth="1"/>
    <col min="11" max="11" width="10.85546875" style="9" bestFit="1" customWidth="1"/>
    <col min="12" max="16384" width="8.7109375" style="1"/>
  </cols>
  <sheetData>
    <row r="1" spans="1:11" s="7" customFormat="1" x14ac:dyDescent="0.55000000000000004">
      <c r="A1" s="96" t="s">
        <v>1</v>
      </c>
      <c r="B1" s="11" t="s">
        <v>73</v>
      </c>
      <c r="C1" s="11" t="s">
        <v>70</v>
      </c>
      <c r="D1" s="1" t="s">
        <v>3</v>
      </c>
      <c r="E1" s="7" t="s">
        <v>4</v>
      </c>
      <c r="F1" s="8" t="s">
        <v>5</v>
      </c>
      <c r="G1" s="8" t="s">
        <v>6</v>
      </c>
      <c r="H1" s="8" t="s">
        <v>7</v>
      </c>
      <c r="I1" s="8" t="s">
        <v>8</v>
      </c>
      <c r="J1" s="129" t="s">
        <v>124</v>
      </c>
      <c r="K1" s="8"/>
    </row>
    <row r="2" spans="1:11" x14ac:dyDescent="0.55000000000000004">
      <c r="A2" s="97">
        <v>44409</v>
      </c>
      <c r="B2" s="16"/>
      <c r="C2" s="16" t="s">
        <v>5</v>
      </c>
      <c r="D2" s="1" t="s">
        <v>77</v>
      </c>
      <c r="E2" s="7" t="s">
        <v>5</v>
      </c>
      <c r="F2" s="19">
        <v>1657480</v>
      </c>
      <c r="G2" s="19"/>
      <c r="H2" s="17"/>
      <c r="I2" s="17">
        <f>KWH[[#This Row],[Opening]]+KWH[[#This Row],[Purchase]]-KWH[[#This Row],[Payment]]</f>
        <v>1657480</v>
      </c>
      <c r="J2" s="129">
        <f>KWH[[#This Row],[Balance]]</f>
        <v>1657480</v>
      </c>
    </row>
    <row r="3" spans="1:11" x14ac:dyDescent="0.55000000000000004">
      <c r="A3" s="97">
        <v>44429</v>
      </c>
      <c r="B3" s="16">
        <v>2813</v>
      </c>
      <c r="C3" s="16" t="s">
        <v>6</v>
      </c>
      <c r="D3" s="1" t="s">
        <v>77</v>
      </c>
      <c r="E3" s="41" t="s">
        <v>103</v>
      </c>
      <c r="F3" s="19"/>
      <c r="G3" s="19">
        <v>98000</v>
      </c>
      <c r="H3" s="17"/>
      <c r="I3" s="17">
        <f>KWH[[#This Row],[Opening]]+KWH[[#This Row],[Purchase]]-KWH[[#This Row],[Payment]]</f>
        <v>98000</v>
      </c>
      <c r="J3" s="129">
        <f>J2+KWH[[#This Row],[Purchase]]-KWH[[#This Row],[Payment]]</f>
        <v>1755480</v>
      </c>
    </row>
    <row r="4" spans="1:11" x14ac:dyDescent="0.55000000000000004">
      <c r="A4" s="130"/>
      <c r="B4" s="131"/>
      <c r="C4" s="131"/>
      <c r="D4" s="132"/>
      <c r="E4" s="133"/>
      <c r="F4" s="129"/>
      <c r="G4" s="129"/>
      <c r="H4" s="134"/>
      <c r="I4" s="134"/>
      <c r="J4" s="129"/>
    </row>
    <row r="5" spans="1:11" x14ac:dyDescent="0.55000000000000004">
      <c r="A5" s="130"/>
      <c r="B5" s="131"/>
      <c r="C5" s="131"/>
      <c r="D5" s="132"/>
      <c r="E5" s="133"/>
      <c r="F5" s="129"/>
      <c r="G5" s="129"/>
      <c r="H5" s="134"/>
      <c r="I5" s="134"/>
      <c r="J5" s="129"/>
    </row>
    <row r="6" spans="1:11" x14ac:dyDescent="0.55000000000000004">
      <c r="A6" s="112"/>
      <c r="B6" s="113"/>
      <c r="C6" s="113"/>
      <c r="D6" s="114"/>
      <c r="E6" s="115"/>
      <c r="F6" s="116"/>
      <c r="G6" s="116"/>
      <c r="H6" s="117"/>
      <c r="I6" s="117"/>
    </row>
    <row r="7" spans="1:11" x14ac:dyDescent="0.55000000000000004">
      <c r="A7" s="99"/>
      <c r="B7" s="82"/>
      <c r="C7" s="82"/>
      <c r="E7" s="83"/>
      <c r="F7" s="84"/>
      <c r="G7" s="84"/>
      <c r="H7" s="85"/>
      <c r="I7" s="85"/>
    </row>
    <row r="8" spans="1:11" x14ac:dyDescent="0.55000000000000004">
      <c r="A8" s="99"/>
      <c r="B8" s="82"/>
      <c r="C8" s="82"/>
      <c r="E8" s="83"/>
      <c r="F8" s="84"/>
      <c r="G8" s="84"/>
      <c r="H8" s="85"/>
      <c r="I8" s="85"/>
    </row>
    <row r="9" spans="1:11" x14ac:dyDescent="0.55000000000000004">
      <c r="A9" s="99"/>
      <c r="B9" s="82"/>
      <c r="C9" s="82"/>
      <c r="E9" s="83"/>
      <c r="F9" s="84"/>
      <c r="G9" s="84"/>
      <c r="H9" s="85"/>
      <c r="I9" s="85"/>
    </row>
    <row r="10" spans="1:11" x14ac:dyDescent="0.55000000000000004">
      <c r="A10" s="99"/>
      <c r="B10" s="82"/>
      <c r="C10" s="82"/>
      <c r="E10" s="87"/>
      <c r="F10" s="84"/>
      <c r="G10" s="84"/>
      <c r="H10" s="85"/>
      <c r="I10" s="85"/>
    </row>
    <row r="11" spans="1:11" x14ac:dyDescent="0.55000000000000004">
      <c r="A11" s="99"/>
      <c r="B11" s="82"/>
      <c r="C11" s="82"/>
      <c r="E11" s="87"/>
      <c r="F11" s="84"/>
      <c r="G11" s="84"/>
      <c r="H11" s="85"/>
      <c r="I11" s="85"/>
    </row>
    <row r="12" spans="1:11" x14ac:dyDescent="0.55000000000000004">
      <c r="A12" s="99"/>
      <c r="B12" s="82"/>
      <c r="C12" s="82"/>
      <c r="D12" s="86"/>
      <c r="E12" s="87"/>
      <c r="F12" s="84"/>
      <c r="G12" s="84"/>
      <c r="H12" s="85"/>
      <c r="I12" s="85"/>
    </row>
    <row r="13" spans="1:11" x14ac:dyDescent="0.55000000000000004">
      <c r="A13" s="100"/>
      <c r="B13" s="55"/>
      <c r="C13" s="16"/>
      <c r="E13" s="57"/>
      <c r="F13" s="58"/>
      <c r="G13" s="58"/>
      <c r="H13" s="59"/>
      <c r="I13" s="59"/>
    </row>
    <row r="14" spans="1:11" x14ac:dyDescent="0.55000000000000004">
      <c r="A14" s="100"/>
      <c r="B14" s="55"/>
      <c r="C14" s="55"/>
      <c r="E14" s="42"/>
      <c r="F14" s="58"/>
      <c r="G14" s="70"/>
      <c r="H14" s="58"/>
      <c r="I14" s="59"/>
    </row>
    <row r="15" spans="1:11" x14ac:dyDescent="0.55000000000000004">
      <c r="A15" s="100"/>
      <c r="B15" s="55"/>
      <c r="C15" s="55"/>
      <c r="E15" s="57"/>
      <c r="F15" s="58"/>
      <c r="G15" s="58"/>
      <c r="H15" s="59"/>
      <c r="I15" s="59"/>
    </row>
    <row r="16" spans="1:11" x14ac:dyDescent="0.55000000000000004">
      <c r="A16" s="100"/>
      <c r="B16" s="55"/>
      <c r="C16" s="55"/>
      <c r="E16" s="57"/>
      <c r="F16" s="58"/>
      <c r="G16" s="58"/>
      <c r="H16" s="59"/>
      <c r="I16" s="59"/>
    </row>
    <row r="17" spans="1:9" x14ac:dyDescent="0.55000000000000004">
      <c r="A17" s="100"/>
      <c r="B17" s="55"/>
      <c r="C17" s="55"/>
      <c r="E17" s="57"/>
      <c r="F17" s="58"/>
      <c r="G17" s="58"/>
      <c r="H17" s="59"/>
      <c r="I17" s="59"/>
    </row>
    <row r="18" spans="1:9" x14ac:dyDescent="0.55000000000000004">
      <c r="A18" s="100"/>
      <c r="B18" s="55"/>
      <c r="C18" s="55"/>
      <c r="D18" s="56"/>
      <c r="E18" s="57"/>
      <c r="F18" s="58"/>
      <c r="G18" s="58"/>
      <c r="H18" s="59"/>
      <c r="I18" s="59"/>
    </row>
    <row r="19" spans="1:9" x14ac:dyDescent="0.55000000000000004">
      <c r="A19" s="97"/>
      <c r="B19" s="16"/>
      <c r="C19" s="16"/>
      <c r="E19" s="42"/>
      <c r="F19" s="19"/>
      <c r="G19" s="19"/>
      <c r="H19" s="17"/>
      <c r="I19" s="17"/>
    </row>
    <row r="20" spans="1:9" x14ac:dyDescent="0.55000000000000004">
      <c r="A20" s="97"/>
      <c r="B20" s="16"/>
      <c r="C20" s="16"/>
      <c r="E20" s="42"/>
      <c r="F20" s="19"/>
      <c r="G20" s="19"/>
      <c r="H20" s="17"/>
      <c r="I20" s="17"/>
    </row>
    <row r="21" spans="1:9" x14ac:dyDescent="0.55000000000000004">
      <c r="A21" s="97"/>
      <c r="B21" s="16"/>
      <c r="C21" s="16"/>
      <c r="E21" s="42"/>
      <c r="F21" s="19"/>
      <c r="G21" s="19"/>
      <c r="H21" s="17"/>
      <c r="I21" s="17"/>
    </row>
    <row r="22" spans="1:9" x14ac:dyDescent="0.55000000000000004">
      <c r="A22" s="102"/>
      <c r="B22" s="51"/>
      <c r="C22" s="51"/>
      <c r="E22" s="42"/>
      <c r="F22" s="50"/>
      <c r="G22" s="50"/>
      <c r="H22" s="53"/>
      <c r="I22" s="53"/>
    </row>
    <row r="23" spans="1:9" x14ac:dyDescent="0.55000000000000004">
      <c r="A23" s="101"/>
      <c r="B23" s="45"/>
      <c r="C23" s="45"/>
      <c r="D23" s="46"/>
      <c r="E23" s="42"/>
      <c r="F23" s="47"/>
      <c r="G23" s="47"/>
      <c r="H23" s="48"/>
      <c r="I23" s="48"/>
    </row>
    <row r="24" spans="1:9" x14ac:dyDescent="0.55000000000000004">
      <c r="A24" s="97"/>
      <c r="B24" s="16"/>
      <c r="C24" s="16"/>
      <c r="F24" s="19"/>
      <c r="G24" s="19"/>
      <c r="H24" s="17"/>
      <c r="I24" s="17"/>
    </row>
    <row r="25" spans="1:9" x14ac:dyDescent="0.55000000000000004">
      <c r="A25" s="97"/>
      <c r="B25" s="16"/>
      <c r="C25" s="16"/>
      <c r="F25" s="19"/>
      <c r="G25" s="19"/>
      <c r="H25" s="17"/>
      <c r="I25" s="17"/>
    </row>
    <row r="26" spans="1:9" x14ac:dyDescent="0.55000000000000004">
      <c r="C26" s="11"/>
    </row>
    <row r="27" spans="1:9" x14ac:dyDescent="0.55000000000000004">
      <c r="C27" s="11"/>
    </row>
    <row r="28" spans="1:9" x14ac:dyDescent="0.55000000000000004">
      <c r="A28" s="104"/>
      <c r="B28" s="29"/>
      <c r="C28" s="29"/>
      <c r="F28" s="31"/>
      <c r="G28" s="31"/>
      <c r="H28" s="32"/>
      <c r="I28" s="32"/>
    </row>
    <row r="29" spans="1:9" x14ac:dyDescent="0.55000000000000004">
      <c r="A29" s="104"/>
      <c r="B29" s="29"/>
      <c r="C29" s="29"/>
      <c r="F29" s="31"/>
      <c r="G29" s="31"/>
      <c r="H29" s="32"/>
      <c r="I29" s="32"/>
    </row>
    <row r="30" spans="1:9" x14ac:dyDescent="0.55000000000000004">
      <c r="A30" s="104"/>
      <c r="B30" s="29"/>
      <c r="C30" s="29"/>
      <c r="D30" s="30"/>
      <c r="E30" s="28"/>
      <c r="F30" s="31"/>
      <c r="G30" s="31"/>
      <c r="H30" s="32"/>
      <c r="I30" s="32"/>
    </row>
    <row r="31" spans="1:9" x14ac:dyDescent="0.55000000000000004">
      <c r="A31" s="104"/>
      <c r="B31" s="29"/>
      <c r="C31" s="29"/>
      <c r="D31" s="30"/>
      <c r="E31" s="28"/>
      <c r="F31" s="31"/>
      <c r="G31" s="31"/>
      <c r="H31" s="32"/>
      <c r="I31" s="32"/>
    </row>
    <row r="32" spans="1:9" x14ac:dyDescent="0.55000000000000004">
      <c r="A32" s="104"/>
      <c r="B32" s="29"/>
      <c r="C32" s="29"/>
      <c r="D32" s="30"/>
      <c r="E32" s="28"/>
      <c r="F32" s="31"/>
      <c r="G32" s="31"/>
      <c r="H32" s="32"/>
      <c r="I32" s="32"/>
    </row>
    <row r="33" spans="1:9" x14ac:dyDescent="0.55000000000000004">
      <c r="A33" s="104"/>
      <c r="B33" s="29"/>
      <c r="C33" s="29"/>
      <c r="D33" s="30"/>
      <c r="E33" s="28"/>
      <c r="F33" s="31"/>
      <c r="G33" s="31"/>
      <c r="H33" s="32"/>
      <c r="I33" s="32"/>
    </row>
    <row r="34" spans="1:9" x14ac:dyDescent="0.55000000000000004">
      <c r="A34" s="104"/>
      <c r="B34" s="29"/>
      <c r="C34" s="29"/>
      <c r="D34" s="30"/>
      <c r="E34" s="28"/>
      <c r="F34" s="31"/>
      <c r="G34" s="31"/>
      <c r="H34" s="32"/>
      <c r="I34" s="32"/>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'Supplier (COA)'!$H$3:$H$5</xm:f>
          </x14:formula1>
          <xm:sqref>C2:C39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26"/>
  <sheetViews>
    <sheetView zoomScaleNormal="100" workbookViewId="0">
      <selection activeCell="H4" sqref="H4"/>
    </sheetView>
  </sheetViews>
  <sheetFormatPr defaultColWidth="8.7109375" defaultRowHeight="21.75" x14ac:dyDescent="0.55000000000000004"/>
  <cols>
    <col min="1" max="1" width="15.42578125" style="96" bestFit="1" customWidth="1"/>
    <col min="2" max="2" width="12.28515625" style="11" customWidth="1"/>
    <col min="3" max="3" width="12.28515625" style="1" customWidth="1"/>
    <col min="4" max="4" width="24.42578125" style="1" bestFit="1" customWidth="1"/>
    <col min="5" max="5" width="36.140625" style="7" customWidth="1"/>
    <col min="6" max="6" width="16.28515625" style="8" customWidth="1"/>
    <col min="7" max="7" width="14.85546875" style="8" customWidth="1"/>
    <col min="8" max="8" width="16.85546875" style="9" customWidth="1"/>
    <col min="9" max="9" width="14.7109375" style="9" bestFit="1" customWidth="1"/>
    <col min="10" max="10" width="16.5703125" style="9" customWidth="1"/>
    <col min="11" max="11" width="10.85546875" style="9" bestFit="1" customWidth="1"/>
    <col min="12" max="16384" width="8.7109375" style="1"/>
  </cols>
  <sheetData>
    <row r="1" spans="1:11" s="7" customFormat="1" x14ac:dyDescent="0.55000000000000004">
      <c r="A1" s="96" t="s">
        <v>1</v>
      </c>
      <c r="B1" s="11" t="s">
        <v>73</v>
      </c>
      <c r="C1" s="11" t="s">
        <v>70</v>
      </c>
      <c r="D1" s="1" t="s">
        <v>3</v>
      </c>
      <c r="E1" s="7" t="s">
        <v>4</v>
      </c>
      <c r="F1" s="8" t="s">
        <v>5</v>
      </c>
      <c r="G1" s="8" t="s">
        <v>6</v>
      </c>
      <c r="H1" s="8" t="s">
        <v>7</v>
      </c>
      <c r="I1" s="8" t="s">
        <v>8</v>
      </c>
      <c r="J1" s="129" t="s">
        <v>124</v>
      </c>
      <c r="K1" s="8"/>
    </row>
    <row r="2" spans="1:11" x14ac:dyDescent="0.55000000000000004">
      <c r="A2" s="97">
        <v>44409</v>
      </c>
      <c r="B2" s="16"/>
      <c r="C2" s="16" t="s">
        <v>5</v>
      </c>
      <c r="D2" s="1" t="s">
        <v>58</v>
      </c>
      <c r="E2" s="7" t="s">
        <v>5</v>
      </c>
      <c r="F2" s="47"/>
      <c r="G2" s="19"/>
      <c r="H2" s="17"/>
      <c r="I2" s="17">
        <f>KYINNLOON[[#This Row],[Opening]]+KYINNLOON[[#This Row],[Purchase]]-KYINNLOON[[#This Row],[Payment]]</f>
        <v>0</v>
      </c>
      <c r="J2" s="129">
        <f>KYINNLOON[[#This Row],[Balance]]</f>
        <v>0</v>
      </c>
    </row>
    <row r="3" spans="1:11" x14ac:dyDescent="0.55000000000000004">
      <c r="A3" s="112">
        <v>44429</v>
      </c>
      <c r="B3" s="113">
        <v>216066</v>
      </c>
      <c r="C3" s="113" t="s">
        <v>6</v>
      </c>
      <c r="D3" s="1" t="s">
        <v>58</v>
      </c>
      <c r="E3" s="115" t="s">
        <v>96</v>
      </c>
      <c r="F3" s="116"/>
      <c r="G3" s="116">
        <v>85480</v>
      </c>
      <c r="H3" s="117"/>
      <c r="I3" s="117">
        <f>KYINNLOON[[#This Row],[Opening]]+KYINNLOON[[#This Row],[Purchase]]-KYINNLOON[[#This Row],[Payment]]</f>
        <v>85480</v>
      </c>
      <c r="J3" s="129">
        <f>J2+KYINNLOON[[#This Row],[Purchase]]-KYINNLOON[[#This Row],[Payment]]</f>
        <v>85480</v>
      </c>
    </row>
    <row r="4" spans="1:11" x14ac:dyDescent="0.55000000000000004">
      <c r="A4" s="112">
        <v>44429</v>
      </c>
      <c r="B4" s="113">
        <v>216068</v>
      </c>
      <c r="C4" s="113" t="s">
        <v>6</v>
      </c>
      <c r="D4" s="1" t="s">
        <v>58</v>
      </c>
      <c r="E4" s="115" t="s">
        <v>97</v>
      </c>
      <c r="F4" s="116"/>
      <c r="G4" s="116">
        <v>126600</v>
      </c>
      <c r="H4" s="117"/>
      <c r="I4" s="117">
        <f>KYINNLOON[[#This Row],[Opening]]+KYINNLOON[[#This Row],[Purchase]]-KYINNLOON[[#This Row],[Payment]]</f>
        <v>126600</v>
      </c>
      <c r="J4" s="129">
        <f>J3+KYINNLOON[[#This Row],[Purchase]]-KYINNLOON[[#This Row],[Payment]]</f>
        <v>212080</v>
      </c>
    </row>
    <row r="5" spans="1:11" x14ac:dyDescent="0.55000000000000004">
      <c r="A5" s="112">
        <v>44429</v>
      </c>
      <c r="B5" s="113">
        <v>216070</v>
      </c>
      <c r="C5" s="113" t="s">
        <v>6</v>
      </c>
      <c r="D5" s="1" t="s">
        <v>58</v>
      </c>
      <c r="E5" s="115" t="s">
        <v>98</v>
      </c>
      <c r="F5" s="116"/>
      <c r="G5" s="116">
        <v>84900</v>
      </c>
      <c r="H5" s="117"/>
      <c r="I5" s="117">
        <f>KYINNLOON[[#This Row],[Opening]]+KYINNLOON[[#This Row],[Purchase]]-KYINNLOON[[#This Row],[Payment]]</f>
        <v>84900</v>
      </c>
      <c r="J5" s="129">
        <f>J4+KYINNLOON[[#This Row],[Purchase]]-KYINNLOON[[#This Row],[Payment]]</f>
        <v>296980</v>
      </c>
    </row>
    <row r="6" spans="1:11" x14ac:dyDescent="0.55000000000000004">
      <c r="A6" s="112">
        <v>44429</v>
      </c>
      <c r="B6" s="113">
        <v>217010</v>
      </c>
      <c r="C6" s="113" t="s">
        <v>6</v>
      </c>
      <c r="D6" s="1" t="s">
        <v>58</v>
      </c>
      <c r="E6" s="115" t="s">
        <v>99</v>
      </c>
      <c r="F6" s="116"/>
      <c r="G6" s="116">
        <v>114000</v>
      </c>
      <c r="H6" s="117"/>
      <c r="I6" s="117">
        <f>KYINNLOON[[#This Row],[Opening]]+KYINNLOON[[#This Row],[Purchase]]-KYINNLOON[[#This Row],[Payment]]</f>
        <v>114000</v>
      </c>
      <c r="J6" s="129">
        <f>J5+KYINNLOON[[#This Row],[Purchase]]-KYINNLOON[[#This Row],[Payment]]</f>
        <v>410980</v>
      </c>
    </row>
    <row r="7" spans="1:11" x14ac:dyDescent="0.55000000000000004">
      <c r="A7" s="112">
        <v>44429</v>
      </c>
      <c r="B7" s="113">
        <v>217023</v>
      </c>
      <c r="C7" s="113" t="s">
        <v>6</v>
      </c>
      <c r="D7" s="1" t="s">
        <v>58</v>
      </c>
      <c r="E7" s="115" t="s">
        <v>100</v>
      </c>
      <c r="F7" s="116"/>
      <c r="G7" s="116">
        <v>61000</v>
      </c>
      <c r="H7" s="117"/>
      <c r="I7" s="117">
        <f>KYINNLOON[[#This Row],[Opening]]+KYINNLOON[[#This Row],[Purchase]]-KYINNLOON[[#This Row],[Payment]]</f>
        <v>61000</v>
      </c>
      <c r="J7" s="129">
        <f>J6+KYINNLOON[[#This Row],[Purchase]]-KYINNLOON[[#This Row],[Payment]]</f>
        <v>471980</v>
      </c>
    </row>
    <row r="8" spans="1:11" x14ac:dyDescent="0.55000000000000004">
      <c r="A8" s="112">
        <v>44429</v>
      </c>
      <c r="B8" s="113">
        <v>217025</v>
      </c>
      <c r="C8" s="113" t="s">
        <v>6</v>
      </c>
      <c r="D8" s="1" t="s">
        <v>58</v>
      </c>
      <c r="E8" s="115" t="s">
        <v>101</v>
      </c>
      <c r="F8" s="116"/>
      <c r="G8" s="116">
        <v>65800</v>
      </c>
      <c r="H8" s="117"/>
      <c r="I8" s="117">
        <f>KYINNLOON[[#This Row],[Opening]]+KYINNLOON[[#This Row],[Purchase]]-KYINNLOON[[#This Row],[Payment]]</f>
        <v>65800</v>
      </c>
      <c r="J8" s="129">
        <f>J7+KYINNLOON[[#This Row],[Purchase]]-KYINNLOON[[#This Row],[Payment]]</f>
        <v>537780</v>
      </c>
    </row>
    <row r="9" spans="1:11" x14ac:dyDescent="0.55000000000000004">
      <c r="A9" s="112">
        <v>44425</v>
      </c>
      <c r="B9" s="113">
        <v>321832</v>
      </c>
      <c r="C9" s="113" t="s">
        <v>6</v>
      </c>
      <c r="D9" s="1" t="s">
        <v>58</v>
      </c>
      <c r="E9" s="115" t="s">
        <v>102</v>
      </c>
      <c r="F9" s="116"/>
      <c r="G9" s="116">
        <v>144600</v>
      </c>
      <c r="H9" s="117"/>
      <c r="I9" s="117">
        <f>KYINNLOON[[#This Row],[Opening]]+KYINNLOON[[#This Row],[Purchase]]-KYINNLOON[[#This Row],[Payment]]</f>
        <v>144600</v>
      </c>
      <c r="J9" s="129">
        <f>J8+KYINNLOON[[#This Row],[Purchase]]-KYINNLOON[[#This Row],[Payment]]</f>
        <v>682380</v>
      </c>
    </row>
    <row r="10" spans="1:11" x14ac:dyDescent="0.55000000000000004">
      <c r="A10" s="112"/>
      <c r="B10" s="113"/>
      <c r="C10" s="113"/>
      <c r="E10" s="115"/>
      <c r="F10" s="116"/>
      <c r="G10" s="116"/>
      <c r="H10" s="117"/>
      <c r="I10" s="117"/>
    </row>
    <row r="11" spans="1:11" x14ac:dyDescent="0.55000000000000004">
      <c r="A11" s="112"/>
      <c r="B11" s="113"/>
      <c r="C11" s="113"/>
      <c r="D11" s="114"/>
      <c r="E11" s="115"/>
      <c r="F11" s="116"/>
      <c r="G11" s="116"/>
      <c r="H11" s="117"/>
      <c r="I11" s="117"/>
    </row>
    <row r="12" spans="1:11" x14ac:dyDescent="0.55000000000000004">
      <c r="A12" s="112"/>
      <c r="B12" s="113"/>
      <c r="C12" s="113"/>
      <c r="D12" s="114"/>
      <c r="E12" s="115"/>
      <c r="F12" s="116"/>
      <c r="G12" s="116"/>
      <c r="H12" s="117"/>
      <c r="I12" s="117"/>
    </row>
    <row r="13" spans="1:11" x14ac:dyDescent="0.55000000000000004">
      <c r="A13" s="97"/>
      <c r="B13" s="16"/>
      <c r="C13" s="16"/>
      <c r="E13" s="42"/>
      <c r="F13" s="19"/>
      <c r="G13" s="19"/>
      <c r="H13" s="17"/>
      <c r="I13" s="17"/>
    </row>
    <row r="14" spans="1:11" x14ac:dyDescent="0.55000000000000004">
      <c r="A14" s="101"/>
      <c r="B14" s="45"/>
      <c r="C14" s="45"/>
      <c r="E14" s="57"/>
      <c r="F14" s="47"/>
      <c r="G14" s="47"/>
      <c r="H14" s="48"/>
      <c r="I14" s="48"/>
    </row>
    <row r="15" spans="1:11" x14ac:dyDescent="0.55000000000000004">
      <c r="A15" s="100"/>
      <c r="B15" s="55"/>
      <c r="C15" s="55"/>
      <c r="D15" s="56"/>
      <c r="E15" s="57"/>
      <c r="F15" s="58"/>
      <c r="G15" s="58"/>
      <c r="H15" s="59"/>
      <c r="I15" s="59"/>
    </row>
    <row r="16" spans="1:11" x14ac:dyDescent="0.55000000000000004">
      <c r="A16" s="97"/>
      <c r="B16" s="16"/>
      <c r="C16" s="16"/>
      <c r="E16" s="42"/>
      <c r="F16" s="19"/>
      <c r="G16" s="19"/>
      <c r="H16" s="17"/>
      <c r="I16" s="17"/>
    </row>
    <row r="17" spans="1:9" x14ac:dyDescent="0.55000000000000004">
      <c r="A17" s="97"/>
      <c r="B17" s="16"/>
      <c r="C17" s="16"/>
      <c r="E17" s="42"/>
      <c r="F17" s="19"/>
      <c r="G17" s="19"/>
      <c r="H17" s="17"/>
      <c r="I17" s="17"/>
    </row>
    <row r="18" spans="1:9" x14ac:dyDescent="0.55000000000000004">
      <c r="A18" s="97"/>
      <c r="B18" s="16"/>
      <c r="C18" s="16"/>
      <c r="E18" s="42"/>
      <c r="F18" s="19"/>
      <c r="G18" s="19"/>
      <c r="H18" s="17"/>
      <c r="I18" s="17"/>
    </row>
    <row r="19" spans="1:9" x14ac:dyDescent="0.55000000000000004">
      <c r="A19" s="102"/>
      <c r="B19" s="51"/>
      <c r="C19" s="51"/>
      <c r="D19" s="49"/>
      <c r="E19" s="52"/>
      <c r="F19" s="50"/>
      <c r="G19" s="50"/>
      <c r="H19" s="53"/>
      <c r="I19" s="53"/>
    </row>
    <row r="20" spans="1:9" x14ac:dyDescent="0.55000000000000004">
      <c r="A20" s="97"/>
      <c r="B20" s="16"/>
      <c r="C20" s="16"/>
      <c r="E20" s="14"/>
      <c r="F20" s="19"/>
      <c r="G20" s="19"/>
      <c r="H20" s="17"/>
      <c r="I20" s="17"/>
    </row>
    <row r="21" spans="1:9" x14ac:dyDescent="0.55000000000000004">
      <c r="A21" s="97"/>
      <c r="B21" s="16"/>
      <c r="C21" s="16"/>
      <c r="E21" s="14"/>
      <c r="F21" s="19"/>
      <c r="G21" s="19"/>
      <c r="H21" s="17"/>
      <c r="I21" s="17"/>
    </row>
    <row r="22" spans="1:9" x14ac:dyDescent="0.55000000000000004">
      <c r="A22" s="97"/>
      <c r="B22" s="16"/>
      <c r="C22" s="16"/>
      <c r="E22" s="14"/>
      <c r="F22" s="19"/>
      <c r="G22" s="19"/>
      <c r="H22" s="17"/>
      <c r="I22" s="17"/>
    </row>
    <row r="23" spans="1:9" x14ac:dyDescent="0.55000000000000004">
      <c r="A23" s="97"/>
      <c r="B23" s="16"/>
      <c r="C23" s="16"/>
      <c r="E23" s="14"/>
      <c r="F23" s="19"/>
      <c r="G23" s="19"/>
      <c r="H23" s="17"/>
      <c r="I23" s="17"/>
    </row>
    <row r="24" spans="1:9" x14ac:dyDescent="0.55000000000000004">
      <c r="A24" s="102"/>
      <c r="B24" s="51"/>
      <c r="C24" s="51"/>
      <c r="D24" s="49"/>
      <c r="E24" s="52"/>
      <c r="F24" s="50"/>
      <c r="G24" s="50"/>
      <c r="H24" s="53"/>
      <c r="I24" s="17"/>
    </row>
    <row r="25" spans="1:9" x14ac:dyDescent="0.55000000000000004">
      <c r="C25" s="11"/>
    </row>
    <row r="26" spans="1:9" x14ac:dyDescent="0.55000000000000004">
      <c r="C26" s="11"/>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'Supplier (COA)'!$H$3:$H$5</xm:f>
          </x14:formula1>
          <xm:sqref>C2:C52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16"/>
  <sheetViews>
    <sheetView zoomScaleNormal="100" workbookViewId="0">
      <selection activeCell="J1" sqref="J1"/>
    </sheetView>
  </sheetViews>
  <sheetFormatPr defaultColWidth="8.7109375" defaultRowHeight="21.75" x14ac:dyDescent="0.55000000000000004"/>
  <cols>
    <col min="1" max="1" width="14.7109375" style="96" customWidth="1"/>
    <col min="2" max="2" width="12.28515625" style="11" customWidth="1"/>
    <col min="3" max="3" width="12.28515625" style="1" customWidth="1"/>
    <col min="4" max="4" width="18.140625" style="1" customWidth="1"/>
    <col min="5" max="5" width="31.42578125" style="7" customWidth="1"/>
    <col min="6" max="6" width="17.5703125" style="8" bestFit="1" customWidth="1"/>
    <col min="7" max="7" width="18.42578125" style="8" customWidth="1"/>
    <col min="8" max="8" width="17" style="9" customWidth="1"/>
    <col min="9" max="9" width="18" style="9" customWidth="1"/>
    <col min="10" max="10" width="17.140625" style="9" customWidth="1"/>
    <col min="11" max="11" width="10.85546875" style="9" bestFit="1" customWidth="1"/>
    <col min="12" max="16384" width="8.7109375" style="1"/>
  </cols>
  <sheetData>
    <row r="1" spans="1:11" s="7" customFormat="1" x14ac:dyDescent="0.55000000000000004">
      <c r="A1" s="96" t="s">
        <v>1</v>
      </c>
      <c r="B1" s="11" t="s">
        <v>73</v>
      </c>
      <c r="C1" s="11" t="s">
        <v>70</v>
      </c>
      <c r="D1" s="1" t="s">
        <v>3</v>
      </c>
      <c r="E1" s="7" t="s">
        <v>4</v>
      </c>
      <c r="F1" s="8" t="s">
        <v>5</v>
      </c>
      <c r="G1" s="8" t="s">
        <v>6</v>
      </c>
      <c r="H1" s="8" t="s">
        <v>7</v>
      </c>
      <c r="I1" s="8" t="s">
        <v>8</v>
      </c>
      <c r="J1" s="129" t="s">
        <v>124</v>
      </c>
      <c r="K1" s="8"/>
    </row>
    <row r="2" spans="1:11" x14ac:dyDescent="0.55000000000000004">
      <c r="A2" s="97">
        <v>44409</v>
      </c>
      <c r="B2" s="16"/>
      <c r="C2" s="16" t="s">
        <v>5</v>
      </c>
      <c r="D2" s="1" t="s">
        <v>42</v>
      </c>
      <c r="E2" s="7" t="s">
        <v>5</v>
      </c>
      <c r="F2" s="19">
        <v>0</v>
      </c>
      <c r="G2" s="19"/>
      <c r="H2" s="17"/>
      <c r="I2" s="17">
        <f>MOB[[#This Row],[Opening]]+MOB[[#This Row],[Purchase]]-MOB[[#This Row],[Payment]]</f>
        <v>0</v>
      </c>
      <c r="J2" s="129">
        <f>MOB[Balance]</f>
        <v>0</v>
      </c>
    </row>
    <row r="3" spans="1:11" x14ac:dyDescent="0.55000000000000004">
      <c r="A3" s="97"/>
      <c r="B3" s="16"/>
      <c r="C3" s="16"/>
      <c r="E3" s="42"/>
      <c r="F3" s="19"/>
      <c r="G3" s="19"/>
      <c r="H3" s="17"/>
      <c r="I3" s="17"/>
    </row>
    <row r="4" spans="1:11" x14ac:dyDescent="0.55000000000000004">
      <c r="A4" s="100"/>
      <c r="B4" s="55"/>
      <c r="C4" s="55"/>
      <c r="E4" s="57"/>
      <c r="F4" s="58"/>
      <c r="G4" s="58"/>
      <c r="H4" s="59"/>
      <c r="I4" s="59"/>
    </row>
    <row r="5" spans="1:11" x14ac:dyDescent="0.55000000000000004">
      <c r="A5" s="100"/>
      <c r="B5" s="55"/>
      <c r="C5" s="55"/>
      <c r="E5" s="57"/>
      <c r="F5" s="58"/>
      <c r="G5" s="58"/>
      <c r="H5" s="59"/>
      <c r="I5" s="59"/>
    </row>
    <row r="6" spans="1:11" x14ac:dyDescent="0.55000000000000004">
      <c r="A6" s="100"/>
      <c r="B6" s="55"/>
      <c r="C6" s="55"/>
      <c r="E6" s="57"/>
      <c r="F6" s="58"/>
      <c r="G6" s="58"/>
      <c r="H6" s="59"/>
      <c r="I6" s="59"/>
    </row>
    <row r="7" spans="1:11" x14ac:dyDescent="0.55000000000000004">
      <c r="A7" s="100"/>
      <c r="B7" s="55"/>
      <c r="C7" s="55"/>
      <c r="D7" s="56"/>
      <c r="E7" s="57"/>
      <c r="F7" s="58"/>
      <c r="G7" s="58"/>
      <c r="H7" s="59"/>
      <c r="I7" s="59"/>
    </row>
    <row r="8" spans="1:11" x14ac:dyDescent="0.55000000000000004">
      <c r="A8" s="97"/>
      <c r="B8" s="16"/>
      <c r="C8" s="16"/>
      <c r="E8" s="42"/>
      <c r="F8" s="19"/>
      <c r="G8" s="19"/>
      <c r="H8" s="17"/>
      <c r="I8" s="17"/>
    </row>
    <row r="9" spans="1:11" x14ac:dyDescent="0.55000000000000004">
      <c r="A9" s="97"/>
      <c r="B9" s="16"/>
      <c r="C9" s="16"/>
      <c r="E9" s="42"/>
      <c r="F9" s="19"/>
      <c r="G9" s="19"/>
      <c r="H9" s="17"/>
      <c r="I9" s="17"/>
    </row>
    <row r="10" spans="1:11" x14ac:dyDescent="0.55000000000000004">
      <c r="A10" s="101"/>
      <c r="B10" s="45"/>
      <c r="C10" s="45"/>
      <c r="D10" s="46"/>
      <c r="E10" s="42"/>
      <c r="F10" s="47"/>
      <c r="G10" s="47"/>
      <c r="H10" s="48"/>
      <c r="I10" s="48"/>
    </row>
    <row r="11" spans="1:11" x14ac:dyDescent="0.55000000000000004">
      <c r="A11" s="97"/>
      <c r="B11" s="16"/>
      <c r="C11" s="16"/>
      <c r="E11" s="14"/>
      <c r="F11" s="19"/>
      <c r="G11" s="19"/>
      <c r="H11" s="17"/>
      <c r="I11" s="17"/>
    </row>
    <row r="12" spans="1:11" x14ac:dyDescent="0.55000000000000004">
      <c r="A12" s="97"/>
      <c r="B12" s="16"/>
      <c r="C12" s="16"/>
      <c r="E12" s="14"/>
      <c r="F12" s="19"/>
      <c r="G12" s="19"/>
      <c r="H12" s="17"/>
      <c r="I12" s="17"/>
    </row>
    <row r="13" spans="1:11" x14ac:dyDescent="0.55000000000000004">
      <c r="A13" s="97"/>
      <c r="B13" s="16"/>
      <c r="C13" s="16"/>
      <c r="E13" s="14"/>
      <c r="F13" s="19"/>
      <c r="G13" s="19"/>
      <c r="H13" s="17"/>
      <c r="I13" s="17"/>
    </row>
    <row r="14" spans="1:11" x14ac:dyDescent="0.55000000000000004">
      <c r="A14" s="97"/>
      <c r="B14" s="16"/>
      <c r="C14" s="16"/>
      <c r="E14" s="14"/>
      <c r="F14" s="19"/>
      <c r="G14" s="19"/>
      <c r="H14" s="17"/>
      <c r="I14" s="17"/>
    </row>
    <row r="15" spans="1:11" x14ac:dyDescent="0.55000000000000004">
      <c r="C15" s="11"/>
    </row>
    <row r="16" spans="1:11" x14ac:dyDescent="0.55000000000000004">
      <c r="C16" s="11"/>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'Supplier (COA)'!$H$3:$H$5</xm:f>
          </x14:formula1>
          <xm:sqref>C2:C28</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K22"/>
  <sheetViews>
    <sheetView zoomScale="90" zoomScaleNormal="90" workbookViewId="0">
      <selection activeCell="J1" sqref="J1"/>
    </sheetView>
  </sheetViews>
  <sheetFormatPr defaultColWidth="8.7109375" defaultRowHeight="21.75" x14ac:dyDescent="0.55000000000000004"/>
  <cols>
    <col min="1" max="1" width="17.5703125" style="96" customWidth="1"/>
    <col min="2" max="2" width="12.28515625" style="11" customWidth="1"/>
    <col min="3" max="3" width="12.28515625" style="1" customWidth="1"/>
    <col min="4" max="4" width="24.42578125" style="1" bestFit="1" customWidth="1"/>
    <col min="5" max="5" width="38.28515625" style="7" customWidth="1"/>
    <col min="6" max="6" width="15.28515625" style="8" customWidth="1"/>
    <col min="7" max="7" width="18.42578125" style="8" customWidth="1"/>
    <col min="8" max="8" width="17.42578125" style="9" customWidth="1"/>
    <col min="9" max="9" width="14.7109375" style="9" bestFit="1" customWidth="1"/>
    <col min="10" max="10" width="18.140625" style="9" customWidth="1"/>
    <col min="11" max="11" width="10.85546875" style="9" bestFit="1" customWidth="1"/>
    <col min="12" max="16384" width="8.7109375" style="1"/>
  </cols>
  <sheetData>
    <row r="1" spans="1:11" s="7" customFormat="1" x14ac:dyDescent="0.55000000000000004">
      <c r="A1" s="96" t="s">
        <v>1</v>
      </c>
      <c r="B1" s="11" t="s">
        <v>73</v>
      </c>
      <c r="C1" s="11" t="s">
        <v>70</v>
      </c>
      <c r="D1" s="1" t="s">
        <v>3</v>
      </c>
      <c r="E1" s="7" t="s">
        <v>4</v>
      </c>
      <c r="F1" s="8" t="s">
        <v>5</v>
      </c>
      <c r="G1" s="8" t="s">
        <v>6</v>
      </c>
      <c r="H1" s="8" t="s">
        <v>7</v>
      </c>
      <c r="I1" s="8" t="s">
        <v>8</v>
      </c>
      <c r="J1" s="129" t="s">
        <v>124</v>
      </c>
      <c r="K1" s="8"/>
    </row>
    <row r="2" spans="1:11" x14ac:dyDescent="0.55000000000000004">
      <c r="A2" s="97">
        <v>44409</v>
      </c>
      <c r="B2" s="16"/>
      <c r="C2" s="16" t="s">
        <v>5</v>
      </c>
      <c r="D2" s="1" t="s">
        <v>78</v>
      </c>
      <c r="E2" s="7" t="s">
        <v>5</v>
      </c>
      <c r="F2" s="19">
        <v>0</v>
      </c>
      <c r="G2" s="19"/>
      <c r="H2" s="17"/>
      <c r="I2" s="17">
        <f>MAYWD[[#This Row],[Opening]]+MAYWD[[#This Row],[Purchase]]-MAYWD[[#This Row],[Payment]]</f>
        <v>0</v>
      </c>
      <c r="J2" s="129">
        <f>MAYWD[Balance]</f>
        <v>0</v>
      </c>
    </row>
    <row r="3" spans="1:11" x14ac:dyDescent="0.55000000000000004">
      <c r="A3" s="99"/>
      <c r="B3" s="82"/>
      <c r="C3" s="82"/>
      <c r="E3" s="83"/>
      <c r="F3" s="84"/>
      <c r="G3" s="84"/>
      <c r="H3" s="85"/>
      <c r="I3" s="85"/>
    </row>
    <row r="4" spans="1:11" x14ac:dyDescent="0.55000000000000004">
      <c r="A4" s="100"/>
      <c r="B4" s="55"/>
      <c r="C4" s="55"/>
      <c r="E4" s="57"/>
      <c r="F4" s="58"/>
      <c r="G4" s="58"/>
      <c r="H4" s="59"/>
      <c r="I4" s="59"/>
    </row>
    <row r="5" spans="1:11" x14ac:dyDescent="0.55000000000000004">
      <c r="A5" s="97"/>
      <c r="B5" s="16"/>
      <c r="C5" s="16"/>
      <c r="E5" s="42"/>
      <c r="F5" s="19"/>
      <c r="G5" s="19"/>
      <c r="H5" s="17"/>
      <c r="I5" s="17"/>
    </row>
    <row r="6" spans="1:11" x14ac:dyDescent="0.55000000000000004">
      <c r="A6" s="101"/>
      <c r="B6" s="45"/>
      <c r="C6" s="45"/>
      <c r="E6" s="42"/>
      <c r="F6" s="47"/>
      <c r="G6" s="47"/>
      <c r="H6" s="48"/>
      <c r="I6" s="48"/>
    </row>
    <row r="7" spans="1:11" x14ac:dyDescent="0.55000000000000004">
      <c r="A7" s="100"/>
      <c r="B7" s="55"/>
      <c r="C7" s="55"/>
      <c r="E7" s="42"/>
      <c r="F7" s="58"/>
      <c r="G7" s="58"/>
      <c r="H7" s="59"/>
      <c r="I7" s="59"/>
    </row>
    <row r="8" spans="1:11" x14ac:dyDescent="0.55000000000000004">
      <c r="A8" s="100"/>
      <c r="B8" s="55"/>
      <c r="C8" s="55"/>
      <c r="E8" s="57"/>
      <c r="F8" s="58"/>
      <c r="G8" s="58"/>
      <c r="H8" s="59"/>
      <c r="I8" s="59"/>
    </row>
    <row r="9" spans="1:11" x14ac:dyDescent="0.55000000000000004">
      <c r="A9" s="100"/>
      <c r="B9" s="55"/>
      <c r="C9" s="55"/>
      <c r="D9" s="56"/>
      <c r="E9" s="57"/>
      <c r="F9" s="58"/>
      <c r="G9" s="58"/>
      <c r="H9" s="59"/>
      <c r="I9" s="59"/>
    </row>
    <row r="10" spans="1:11" x14ac:dyDescent="0.55000000000000004">
      <c r="A10" s="100"/>
      <c r="B10" s="55"/>
      <c r="C10" s="55"/>
      <c r="D10" s="56"/>
      <c r="E10" s="57"/>
      <c r="F10" s="58"/>
      <c r="G10" s="58"/>
      <c r="H10" s="59"/>
      <c r="I10" s="59"/>
    </row>
    <row r="11" spans="1:11" x14ac:dyDescent="0.55000000000000004">
      <c r="A11" s="97"/>
      <c r="B11" s="16"/>
      <c r="C11" s="16"/>
      <c r="E11" s="42"/>
      <c r="F11" s="19"/>
      <c r="G11" s="19"/>
      <c r="H11" s="17"/>
      <c r="I11" s="17"/>
    </row>
    <row r="12" spans="1:11" x14ac:dyDescent="0.55000000000000004">
      <c r="A12" s="97"/>
      <c r="B12" s="16"/>
      <c r="C12" s="16"/>
      <c r="E12" s="42"/>
      <c r="F12" s="19"/>
      <c r="G12" s="19"/>
      <c r="H12" s="17"/>
      <c r="I12" s="17"/>
    </row>
    <row r="13" spans="1:11" x14ac:dyDescent="0.55000000000000004">
      <c r="A13" s="97"/>
      <c r="B13" s="16"/>
      <c r="C13" s="16"/>
      <c r="F13" s="19"/>
      <c r="G13" s="19"/>
      <c r="H13" s="17"/>
      <c r="I13" s="17"/>
    </row>
    <row r="14" spans="1:11" x14ac:dyDescent="0.55000000000000004">
      <c r="A14" s="97"/>
      <c r="B14" s="16"/>
      <c r="C14" s="16"/>
      <c r="E14" s="42"/>
      <c r="F14" s="19"/>
      <c r="G14" s="19"/>
      <c r="H14" s="17"/>
      <c r="I14" s="17"/>
    </row>
    <row r="15" spans="1:11" x14ac:dyDescent="0.55000000000000004">
      <c r="A15" s="102"/>
      <c r="B15" s="51"/>
      <c r="C15" s="51"/>
      <c r="E15" s="52"/>
      <c r="F15" s="50"/>
      <c r="G15" s="50"/>
      <c r="H15" s="53"/>
      <c r="I15" s="53"/>
    </row>
    <row r="16" spans="1:11" x14ac:dyDescent="0.55000000000000004">
      <c r="A16" s="102"/>
      <c r="B16" s="51"/>
      <c r="C16" s="51"/>
      <c r="E16" s="52"/>
      <c r="F16" s="50"/>
      <c r="G16" s="50"/>
      <c r="H16" s="53"/>
      <c r="I16" s="53"/>
    </row>
    <row r="17" spans="1:9" x14ac:dyDescent="0.55000000000000004">
      <c r="A17" s="102"/>
      <c r="B17" s="51"/>
      <c r="C17" s="51"/>
      <c r="F17" s="50"/>
      <c r="G17" s="50"/>
      <c r="H17" s="53"/>
      <c r="I17" s="53"/>
    </row>
    <row r="18" spans="1:9" x14ac:dyDescent="0.55000000000000004">
      <c r="A18" s="102"/>
      <c r="B18" s="51"/>
      <c r="C18" s="51"/>
      <c r="D18" s="49"/>
      <c r="E18" s="52"/>
      <c r="F18" s="50"/>
      <c r="G18" s="50"/>
      <c r="H18" s="53"/>
      <c r="I18" s="53"/>
    </row>
    <row r="19" spans="1:9" x14ac:dyDescent="0.55000000000000004">
      <c r="A19" s="97"/>
      <c r="B19" s="16"/>
      <c r="C19" s="16"/>
      <c r="E19" s="14"/>
      <c r="F19" s="19"/>
      <c r="G19" s="19"/>
      <c r="H19" s="17"/>
      <c r="I19" s="17"/>
    </row>
    <row r="20" spans="1:9" x14ac:dyDescent="0.55000000000000004">
      <c r="A20" s="97"/>
      <c r="B20" s="16"/>
      <c r="C20" s="16"/>
      <c r="E20" s="14"/>
      <c r="F20" s="19"/>
      <c r="G20" s="19"/>
      <c r="H20" s="17"/>
      <c r="I20" s="17"/>
    </row>
    <row r="21" spans="1:9" x14ac:dyDescent="0.55000000000000004">
      <c r="C21" s="11"/>
    </row>
    <row r="22" spans="1:9" x14ac:dyDescent="0.55000000000000004">
      <c r="C22" s="11"/>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'Supplier (COA)'!$H$3:$H$5</xm:f>
          </x14:formula1>
          <xm:sqref>C2:C43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11"/>
  <sheetViews>
    <sheetView workbookViewId="0">
      <selection activeCell="J1" sqref="J1"/>
    </sheetView>
  </sheetViews>
  <sheetFormatPr defaultColWidth="8.7109375" defaultRowHeight="21.75" x14ac:dyDescent="0.55000000000000004"/>
  <cols>
    <col min="1" max="1" width="14.7109375" style="96" customWidth="1"/>
    <col min="2" max="3" width="12.28515625" style="1" customWidth="1"/>
    <col min="4" max="4" width="24.42578125" style="1" bestFit="1" customWidth="1"/>
    <col min="5" max="5" width="23.28515625" style="7" customWidth="1"/>
    <col min="6" max="6" width="17.5703125" style="8" bestFit="1" customWidth="1"/>
    <col min="7" max="7" width="18.42578125" style="8" customWidth="1"/>
    <col min="8" max="8" width="15.28515625" style="9" customWidth="1"/>
    <col min="9" max="9" width="17.140625" style="9" customWidth="1"/>
    <col min="10" max="10" width="16.85546875" style="9" customWidth="1"/>
    <col min="11" max="11" width="10.85546875" style="9" bestFit="1" customWidth="1"/>
    <col min="12" max="16384" width="8.7109375" style="1"/>
  </cols>
  <sheetData>
    <row r="1" spans="1:11" s="7" customFormat="1" x14ac:dyDescent="0.55000000000000004">
      <c r="A1" s="96" t="s">
        <v>1</v>
      </c>
      <c r="B1" s="7" t="s">
        <v>73</v>
      </c>
      <c r="C1" s="11" t="s">
        <v>70</v>
      </c>
      <c r="D1" s="1" t="s">
        <v>3</v>
      </c>
      <c r="E1" s="7" t="s">
        <v>4</v>
      </c>
      <c r="F1" s="8" t="s">
        <v>5</v>
      </c>
      <c r="G1" s="8" t="s">
        <v>6</v>
      </c>
      <c r="H1" s="8" t="s">
        <v>7</v>
      </c>
      <c r="I1" s="8" t="s">
        <v>8</v>
      </c>
      <c r="J1" s="129" t="s">
        <v>124</v>
      </c>
      <c r="K1" s="8"/>
    </row>
    <row r="2" spans="1:11" x14ac:dyDescent="0.55000000000000004">
      <c r="A2" s="97">
        <v>44409</v>
      </c>
      <c r="B2" s="15"/>
      <c r="C2" s="16" t="s">
        <v>5</v>
      </c>
      <c r="D2" s="1" t="s">
        <v>44</v>
      </c>
      <c r="E2" s="7" t="s">
        <v>5</v>
      </c>
      <c r="F2" s="19">
        <v>2208992</v>
      </c>
      <c r="G2" s="19"/>
      <c r="H2" s="17"/>
      <c r="I2" s="17">
        <f>MDYSP[[#This Row],[Opening]]+MDYSP[[#This Row],[Purchase]]-MDYSP[[#This Row],[Payment]]</f>
        <v>2208992</v>
      </c>
      <c r="J2" s="129">
        <f>MDYSP[Balance]</f>
        <v>2208992</v>
      </c>
    </row>
    <row r="3" spans="1:11" x14ac:dyDescent="0.55000000000000004">
      <c r="A3" s="100"/>
      <c r="B3" s="69"/>
      <c r="C3" s="55"/>
      <c r="D3" s="56"/>
      <c r="E3" s="57"/>
      <c r="F3" s="58"/>
      <c r="G3" s="58"/>
      <c r="H3" s="59"/>
      <c r="I3" s="59"/>
    </row>
    <row r="4" spans="1:11" x14ac:dyDescent="0.55000000000000004">
      <c r="A4" s="97"/>
      <c r="B4" s="15"/>
      <c r="C4" s="16"/>
      <c r="E4" s="14"/>
      <c r="F4" s="19"/>
      <c r="G4" s="19"/>
      <c r="H4" s="17"/>
      <c r="I4" s="17"/>
    </row>
    <row r="5" spans="1:11" x14ac:dyDescent="0.55000000000000004">
      <c r="A5" s="97"/>
      <c r="B5" s="15"/>
      <c r="C5" s="16"/>
      <c r="E5" s="14"/>
      <c r="F5" s="19"/>
      <c r="G5" s="19"/>
      <c r="H5" s="17"/>
      <c r="I5" s="17"/>
    </row>
    <row r="6" spans="1:11" x14ac:dyDescent="0.55000000000000004">
      <c r="A6" s="97"/>
      <c r="B6" s="15"/>
      <c r="C6" s="16"/>
      <c r="E6" s="14"/>
      <c r="F6" s="19"/>
      <c r="G6" s="19"/>
      <c r="H6" s="17"/>
      <c r="I6" s="17"/>
    </row>
    <row r="7" spans="1:11" x14ac:dyDescent="0.55000000000000004">
      <c r="A7" s="97"/>
      <c r="B7" s="15"/>
      <c r="C7" s="16"/>
      <c r="E7" s="14"/>
      <c r="F7" s="19"/>
      <c r="G7" s="19"/>
      <c r="H7" s="17"/>
      <c r="I7" s="17"/>
    </row>
    <row r="8" spans="1:11" x14ac:dyDescent="0.55000000000000004">
      <c r="A8" s="97"/>
      <c r="B8" s="15"/>
      <c r="C8" s="16"/>
      <c r="E8" s="14"/>
      <c r="F8" s="19"/>
      <c r="G8" s="19"/>
      <c r="H8" s="17"/>
      <c r="I8" s="17"/>
    </row>
    <row r="9" spans="1:11" x14ac:dyDescent="0.55000000000000004">
      <c r="A9" s="97"/>
      <c r="B9" s="15"/>
      <c r="C9" s="16"/>
      <c r="E9" s="14"/>
      <c r="F9" s="19"/>
      <c r="G9" s="19"/>
      <c r="H9" s="17"/>
      <c r="I9" s="17"/>
    </row>
    <row r="10" spans="1:11" x14ac:dyDescent="0.55000000000000004">
      <c r="C10" s="11"/>
    </row>
    <row r="11" spans="1:11" x14ac:dyDescent="0.55000000000000004">
      <c r="C11" s="11"/>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'Supplier (COA)'!$H$3:$H$5</xm:f>
          </x14:formula1>
          <xm:sqref>C2:C23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K34"/>
  <sheetViews>
    <sheetView zoomScaleNormal="100" workbookViewId="0">
      <selection activeCell="J2" sqref="J2:J3"/>
    </sheetView>
  </sheetViews>
  <sheetFormatPr defaultColWidth="8.7109375" defaultRowHeight="21.75" x14ac:dyDescent="0.55000000000000004"/>
  <cols>
    <col min="1" max="1" width="14.7109375" style="96" customWidth="1"/>
    <col min="2" max="2" width="13.85546875" style="11" customWidth="1"/>
    <col min="3" max="3" width="13.42578125" style="1" customWidth="1"/>
    <col min="4" max="4" width="18.28515625" style="1" customWidth="1"/>
    <col min="5" max="5" width="35.5703125" style="7" customWidth="1"/>
    <col min="6" max="6" width="17.5703125" style="8" bestFit="1" customWidth="1"/>
    <col min="7" max="7" width="18.42578125" style="8" customWidth="1"/>
    <col min="8" max="8" width="15.85546875" style="9" customWidth="1"/>
    <col min="9" max="9" width="14.7109375" style="9" bestFit="1" customWidth="1"/>
    <col min="10" max="10" width="16" style="9" customWidth="1"/>
    <col min="11" max="11" width="10.85546875" style="9" bestFit="1" customWidth="1"/>
    <col min="12" max="16384" width="8.7109375" style="1"/>
  </cols>
  <sheetData>
    <row r="1" spans="1:11" s="7" customFormat="1" x14ac:dyDescent="0.55000000000000004">
      <c r="A1" s="96" t="s">
        <v>1</v>
      </c>
      <c r="B1" s="11" t="s">
        <v>73</v>
      </c>
      <c r="C1" s="11" t="s">
        <v>70</v>
      </c>
      <c r="D1" s="1" t="s">
        <v>3</v>
      </c>
      <c r="E1" s="7" t="s">
        <v>4</v>
      </c>
      <c r="F1" s="8" t="s">
        <v>5</v>
      </c>
      <c r="G1" s="8" t="s">
        <v>6</v>
      </c>
      <c r="H1" s="8" t="s">
        <v>7</v>
      </c>
      <c r="I1" s="8" t="s">
        <v>8</v>
      </c>
      <c r="J1" s="129" t="s">
        <v>124</v>
      </c>
      <c r="K1" s="8"/>
    </row>
    <row r="2" spans="1:11" x14ac:dyDescent="0.55000000000000004">
      <c r="A2" s="97">
        <v>44409</v>
      </c>
      <c r="B2" s="16"/>
      <c r="C2" s="16" t="s">
        <v>5</v>
      </c>
      <c r="D2" s="1" t="s">
        <v>79</v>
      </c>
      <c r="E2" s="7" t="s">
        <v>5</v>
      </c>
      <c r="F2" s="19">
        <v>837010</v>
      </c>
      <c r="G2" s="19"/>
      <c r="H2" s="17"/>
      <c r="I2" s="17">
        <f>MTAY[[#This Row],[Opening]]+MTAY[[#This Row],[Purchase]]-MTAY[[#This Row],[Payment]]</f>
        <v>837010</v>
      </c>
      <c r="J2" s="129">
        <f>MTAY[[#This Row],[Balance]]</f>
        <v>837010</v>
      </c>
    </row>
    <row r="3" spans="1:11" x14ac:dyDescent="0.55000000000000004">
      <c r="A3" s="101">
        <v>44433</v>
      </c>
      <c r="B3" s="45">
        <v>222</v>
      </c>
      <c r="C3" s="45" t="s">
        <v>7</v>
      </c>
      <c r="D3" s="1" t="s">
        <v>79</v>
      </c>
      <c r="E3" s="42" t="s">
        <v>106</v>
      </c>
      <c r="F3" s="47"/>
      <c r="G3" s="47"/>
      <c r="H3" s="48">
        <v>837000</v>
      </c>
      <c r="I3" s="48">
        <f>MTAY[[#This Row],[Opening]]+MTAY[[#This Row],[Purchase]]-MTAY[[#This Row],[Payment]]</f>
        <v>-837000</v>
      </c>
      <c r="J3" s="129">
        <f>J2+MTAY[[#This Row],[Purchase]]-MTAY[[#This Row],[Payment]]</f>
        <v>10</v>
      </c>
    </row>
    <row r="4" spans="1:11" x14ac:dyDescent="0.55000000000000004">
      <c r="A4" s="101"/>
      <c r="B4" s="45"/>
      <c r="C4" s="45"/>
      <c r="D4" s="46"/>
      <c r="E4" s="42"/>
      <c r="F4" s="47"/>
      <c r="G4" s="47"/>
      <c r="H4" s="48"/>
      <c r="I4" s="48"/>
    </row>
    <row r="5" spans="1:11" x14ac:dyDescent="0.55000000000000004">
      <c r="A5" s="101"/>
      <c r="B5" s="45"/>
      <c r="C5" s="45"/>
      <c r="D5" s="46"/>
      <c r="E5" s="42"/>
      <c r="F5" s="47"/>
      <c r="G5" s="47"/>
      <c r="H5" s="48"/>
      <c r="I5" s="48"/>
    </row>
    <row r="6" spans="1:11" x14ac:dyDescent="0.55000000000000004">
      <c r="A6" s="100"/>
      <c r="B6" s="55"/>
      <c r="C6" s="55"/>
      <c r="E6" s="42"/>
      <c r="F6" s="58"/>
      <c r="G6" s="58"/>
      <c r="H6" s="59"/>
      <c r="I6" s="59"/>
    </row>
    <row r="7" spans="1:11" x14ac:dyDescent="0.55000000000000004">
      <c r="A7" s="99"/>
      <c r="B7" s="82"/>
      <c r="C7" s="82"/>
      <c r="E7" s="87"/>
      <c r="F7" s="84"/>
      <c r="G7" s="84"/>
      <c r="H7" s="84"/>
      <c r="I7" s="85"/>
    </row>
    <row r="8" spans="1:11" x14ac:dyDescent="0.55000000000000004">
      <c r="A8" s="99"/>
      <c r="B8" s="82"/>
      <c r="C8" s="82"/>
      <c r="E8" s="87"/>
      <c r="F8" s="84"/>
      <c r="G8" s="84"/>
      <c r="H8" s="84"/>
      <c r="I8" s="85"/>
    </row>
    <row r="9" spans="1:11" x14ac:dyDescent="0.55000000000000004">
      <c r="A9" s="99"/>
      <c r="B9" s="82"/>
      <c r="C9" s="82"/>
      <c r="E9" s="87"/>
      <c r="F9" s="84"/>
      <c r="G9" s="84"/>
      <c r="H9" s="85"/>
      <c r="I9" s="85"/>
    </row>
    <row r="10" spans="1:11" x14ac:dyDescent="0.55000000000000004">
      <c r="A10" s="99"/>
      <c r="B10" s="82"/>
      <c r="C10" s="82"/>
      <c r="E10" s="87"/>
      <c r="F10" s="84"/>
      <c r="G10" s="84"/>
      <c r="H10" s="85"/>
      <c r="I10" s="85"/>
    </row>
    <row r="11" spans="1:11" x14ac:dyDescent="0.55000000000000004">
      <c r="A11" s="99"/>
      <c r="B11" s="82"/>
      <c r="C11" s="82"/>
      <c r="E11" s="87"/>
      <c r="F11" s="84"/>
      <c r="G11" s="84"/>
      <c r="H11" s="85"/>
      <c r="I11" s="85"/>
    </row>
    <row r="12" spans="1:11" x14ac:dyDescent="0.55000000000000004">
      <c r="A12" s="99"/>
      <c r="B12" s="82"/>
      <c r="C12" s="82"/>
      <c r="D12" s="86"/>
      <c r="E12" s="87"/>
      <c r="F12" s="84"/>
      <c r="G12" s="84"/>
      <c r="H12" s="85"/>
      <c r="I12" s="85"/>
    </row>
    <row r="13" spans="1:11" x14ac:dyDescent="0.55000000000000004">
      <c r="A13" s="97"/>
      <c r="B13" s="16"/>
      <c r="C13" s="16"/>
      <c r="E13" s="42"/>
      <c r="F13" s="19"/>
      <c r="G13" s="19"/>
      <c r="H13" s="17"/>
      <c r="I13" s="17"/>
    </row>
    <row r="14" spans="1:11" x14ac:dyDescent="0.55000000000000004">
      <c r="A14" s="100"/>
      <c r="B14" s="55"/>
      <c r="C14" s="16"/>
      <c r="E14" s="42"/>
      <c r="F14" s="58"/>
      <c r="G14" s="58"/>
      <c r="H14" s="59"/>
      <c r="I14" s="59"/>
    </row>
    <row r="15" spans="1:11" x14ac:dyDescent="0.55000000000000004">
      <c r="A15" s="100"/>
      <c r="B15" s="55"/>
      <c r="C15" s="55"/>
      <c r="E15" s="57"/>
      <c r="F15" s="58"/>
      <c r="G15" s="58"/>
      <c r="H15" s="59"/>
      <c r="I15" s="59"/>
    </row>
    <row r="16" spans="1:11" x14ac:dyDescent="0.55000000000000004">
      <c r="A16" s="100"/>
      <c r="B16" s="55"/>
      <c r="C16" s="55"/>
      <c r="E16" s="42"/>
      <c r="F16" s="58"/>
      <c r="G16" s="58"/>
      <c r="H16" s="59"/>
      <c r="I16" s="59"/>
    </row>
    <row r="17" spans="1:9" x14ac:dyDescent="0.55000000000000004">
      <c r="A17" s="100"/>
      <c r="B17" s="55"/>
      <c r="C17" s="55"/>
      <c r="E17" s="42"/>
      <c r="F17" s="58"/>
      <c r="G17" s="58"/>
      <c r="H17" s="59"/>
      <c r="I17" s="59"/>
    </row>
    <row r="18" spans="1:9" x14ac:dyDescent="0.55000000000000004">
      <c r="A18" s="100"/>
      <c r="B18" s="55"/>
      <c r="C18" s="55"/>
      <c r="E18" s="57"/>
      <c r="F18" s="58"/>
      <c r="G18" s="58"/>
      <c r="H18" s="59"/>
      <c r="I18" s="59"/>
    </row>
    <row r="19" spans="1:9" x14ac:dyDescent="0.55000000000000004">
      <c r="A19" s="100"/>
      <c r="B19" s="55"/>
      <c r="C19" s="55"/>
      <c r="E19" s="42"/>
      <c r="F19" s="58"/>
      <c r="G19" s="58"/>
      <c r="H19" s="59"/>
      <c r="I19" s="59"/>
    </row>
    <row r="20" spans="1:9" x14ac:dyDescent="0.55000000000000004">
      <c r="A20" s="100"/>
      <c r="B20" s="55"/>
      <c r="C20" s="55"/>
      <c r="E20" s="57"/>
      <c r="F20" s="58"/>
      <c r="G20" s="58"/>
      <c r="H20" s="59"/>
      <c r="I20" s="59"/>
    </row>
    <row r="21" spans="1:9" x14ac:dyDescent="0.55000000000000004">
      <c r="A21" s="100"/>
      <c r="B21" s="55"/>
      <c r="C21" s="55"/>
      <c r="D21" s="56"/>
      <c r="E21" s="57"/>
      <c r="F21" s="58"/>
      <c r="G21" s="58"/>
      <c r="H21" s="59"/>
      <c r="I21" s="59"/>
    </row>
    <row r="22" spans="1:9" x14ac:dyDescent="0.55000000000000004">
      <c r="A22" s="100"/>
      <c r="B22" s="55"/>
      <c r="C22" s="55"/>
      <c r="D22" s="56"/>
      <c r="E22" s="57"/>
      <c r="F22" s="58"/>
      <c r="G22" s="58"/>
      <c r="H22" s="59"/>
      <c r="I22" s="59"/>
    </row>
    <row r="23" spans="1:9" x14ac:dyDescent="0.55000000000000004">
      <c r="A23" s="97"/>
      <c r="B23" s="16"/>
      <c r="C23" s="16"/>
      <c r="E23" s="42"/>
      <c r="F23" s="19"/>
      <c r="G23" s="19"/>
      <c r="H23" s="17"/>
      <c r="I23" s="17"/>
    </row>
    <row r="24" spans="1:9" x14ac:dyDescent="0.55000000000000004">
      <c r="A24" s="102"/>
      <c r="B24" s="51"/>
      <c r="C24" s="51"/>
      <c r="E24" s="52"/>
      <c r="F24" s="50"/>
      <c r="G24" s="50"/>
      <c r="H24" s="53"/>
      <c r="I24" s="53"/>
    </row>
    <row r="25" spans="1:9" x14ac:dyDescent="0.55000000000000004">
      <c r="A25" s="102"/>
      <c r="B25" s="51"/>
      <c r="C25" s="51"/>
      <c r="E25" s="42"/>
      <c r="F25" s="50"/>
      <c r="G25" s="50"/>
      <c r="H25" s="53"/>
      <c r="I25" s="53"/>
    </row>
    <row r="26" spans="1:9" x14ac:dyDescent="0.55000000000000004">
      <c r="A26" s="102"/>
      <c r="B26" s="51"/>
      <c r="C26" s="51"/>
      <c r="E26" s="52"/>
      <c r="F26" s="50"/>
      <c r="G26" s="50"/>
      <c r="H26" s="53"/>
      <c r="I26" s="53"/>
    </row>
    <row r="27" spans="1:9" x14ac:dyDescent="0.55000000000000004">
      <c r="A27" s="102"/>
      <c r="B27" s="51"/>
      <c r="C27" s="51"/>
      <c r="E27" s="52"/>
      <c r="F27" s="50"/>
      <c r="G27" s="50"/>
      <c r="H27" s="53"/>
      <c r="I27" s="53"/>
    </row>
    <row r="28" spans="1:9" x14ac:dyDescent="0.55000000000000004">
      <c r="A28" s="102"/>
      <c r="B28" s="51"/>
      <c r="C28" s="51"/>
      <c r="D28" s="49"/>
      <c r="E28" s="52"/>
      <c r="F28" s="50"/>
      <c r="G28" s="50"/>
      <c r="H28" s="53"/>
      <c r="I28" s="53"/>
    </row>
    <row r="29" spans="1:9" x14ac:dyDescent="0.55000000000000004">
      <c r="A29" s="97"/>
      <c r="B29" s="16"/>
      <c r="C29" s="16"/>
      <c r="F29" s="19"/>
      <c r="G29" s="19"/>
      <c r="H29" s="17"/>
      <c r="I29" s="17"/>
    </row>
    <row r="30" spans="1:9" x14ac:dyDescent="0.55000000000000004">
      <c r="A30" s="97"/>
      <c r="B30" s="16"/>
      <c r="C30" s="16"/>
      <c r="F30" s="19"/>
      <c r="G30" s="19"/>
      <c r="H30" s="17"/>
      <c r="I30" s="17"/>
    </row>
    <row r="31" spans="1:9" x14ac:dyDescent="0.55000000000000004">
      <c r="A31" s="97"/>
      <c r="B31" s="16"/>
      <c r="C31" s="16"/>
      <c r="E31" s="14"/>
      <c r="F31" s="19"/>
      <c r="G31" s="19"/>
      <c r="H31" s="17"/>
      <c r="I31" s="17"/>
    </row>
    <row r="32" spans="1:9" x14ac:dyDescent="0.55000000000000004">
      <c r="A32" s="97"/>
      <c r="B32" s="16"/>
      <c r="C32" s="16"/>
      <c r="E32" s="14"/>
      <c r="F32" s="19"/>
      <c r="G32" s="19"/>
      <c r="H32" s="17"/>
      <c r="I32" s="17"/>
    </row>
    <row r="33" spans="3:3" x14ac:dyDescent="0.55000000000000004">
      <c r="C33" s="11"/>
    </row>
    <row r="34" spans="3:3" x14ac:dyDescent="0.55000000000000004">
      <c r="C34" s="11"/>
    </row>
  </sheetData>
  <pageMargins left="0.7" right="0.7" top="0.75" bottom="0.75" header="0.3" footer="0.3"/>
  <pageSetup paperSize="9" orientation="portrait" verticalDpi="0"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'Supplier (COA)'!$H$3:$H$5</xm:f>
          </x14:formula1>
          <xm:sqref>C2:C38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K21"/>
  <sheetViews>
    <sheetView zoomScaleNormal="100" workbookViewId="0">
      <selection activeCell="J1" sqref="J1"/>
    </sheetView>
  </sheetViews>
  <sheetFormatPr defaultColWidth="8.7109375" defaultRowHeight="21.75" x14ac:dyDescent="0.55000000000000004"/>
  <cols>
    <col min="1" max="1" width="14.7109375" style="96" customWidth="1"/>
    <col min="2" max="2" width="12.28515625" style="67" customWidth="1"/>
    <col min="3" max="3" width="12.28515625" style="1" customWidth="1"/>
    <col min="4" max="4" width="24.42578125" style="1" bestFit="1" customWidth="1"/>
    <col min="5" max="5" width="35.140625" style="7" customWidth="1"/>
    <col min="6" max="6" width="17.5703125" style="8" bestFit="1" customWidth="1"/>
    <col min="7" max="7" width="18.42578125" style="8" customWidth="1"/>
    <col min="8" max="8" width="15.140625" style="9" customWidth="1"/>
    <col min="9" max="9" width="14.7109375" style="9" bestFit="1" customWidth="1"/>
    <col min="10" max="10" width="14.7109375" style="9" customWidth="1"/>
    <col min="11" max="11" width="10.85546875" style="9" bestFit="1" customWidth="1"/>
    <col min="12" max="16384" width="8.7109375" style="1"/>
  </cols>
  <sheetData>
    <row r="1" spans="1:11" s="7" customFormat="1" x14ac:dyDescent="0.55000000000000004">
      <c r="A1" s="96" t="s">
        <v>1</v>
      </c>
      <c r="B1" s="11" t="s">
        <v>73</v>
      </c>
      <c r="C1" s="11" t="s">
        <v>70</v>
      </c>
      <c r="D1" s="1" t="s">
        <v>3</v>
      </c>
      <c r="E1" s="7" t="s">
        <v>4</v>
      </c>
      <c r="F1" s="8" t="s">
        <v>5</v>
      </c>
      <c r="G1" s="8" t="s">
        <v>6</v>
      </c>
      <c r="H1" s="8" t="s">
        <v>7</v>
      </c>
      <c r="I1" s="8" t="s">
        <v>8</v>
      </c>
      <c r="J1" s="129" t="s">
        <v>124</v>
      </c>
      <c r="K1" s="8"/>
    </row>
    <row r="2" spans="1:11" x14ac:dyDescent="0.55000000000000004">
      <c r="A2" s="97">
        <v>44409</v>
      </c>
      <c r="B2" s="54"/>
      <c r="C2" s="16" t="s">
        <v>5</v>
      </c>
      <c r="D2" s="1" t="s">
        <v>80</v>
      </c>
      <c r="E2" s="7" t="s">
        <v>5</v>
      </c>
      <c r="F2" s="19">
        <v>188580</v>
      </c>
      <c r="G2" s="19"/>
      <c r="H2" s="17"/>
      <c r="I2" s="17">
        <f>NASA[[#This Row],[Opening]]+NASA[[#This Row],[Purchase]]-NASA[[#This Row],[Payment]]</f>
        <v>188580</v>
      </c>
      <c r="J2" s="129">
        <f>NASA[[#This Row],[Balance]]</f>
        <v>188580</v>
      </c>
    </row>
    <row r="3" spans="1:11" x14ac:dyDescent="0.55000000000000004">
      <c r="A3" s="101">
        <v>44439</v>
      </c>
      <c r="B3" s="61">
        <v>1079</v>
      </c>
      <c r="C3" s="45" t="s">
        <v>7</v>
      </c>
      <c r="D3" s="1" t="s">
        <v>80</v>
      </c>
      <c r="E3" s="42" t="s">
        <v>118</v>
      </c>
      <c r="F3" s="47"/>
      <c r="G3" s="47"/>
      <c r="H3" s="48">
        <v>188580</v>
      </c>
      <c r="I3" s="48">
        <f>NASA[[#This Row],[Opening]]+NASA[[#This Row],[Purchase]]-NASA[[#This Row],[Payment]]</f>
        <v>-188580</v>
      </c>
      <c r="J3" s="129">
        <f>J2+NASA[[#This Row],[Purchase]]-NASA[[#This Row],[Payment]]</f>
        <v>0</v>
      </c>
    </row>
    <row r="4" spans="1:11" x14ac:dyDescent="0.55000000000000004">
      <c r="A4" s="130"/>
      <c r="B4" s="135"/>
      <c r="C4" s="131"/>
      <c r="D4" s="132"/>
      <c r="E4" s="133"/>
      <c r="F4" s="129"/>
      <c r="G4" s="129"/>
      <c r="H4" s="134"/>
      <c r="I4" s="134"/>
      <c r="J4" s="129"/>
    </row>
    <row r="5" spans="1:11" x14ac:dyDescent="0.55000000000000004">
      <c r="A5" s="130"/>
      <c r="B5" s="135"/>
      <c r="C5" s="131"/>
      <c r="D5" s="132"/>
      <c r="E5" s="133"/>
      <c r="F5" s="129"/>
      <c r="G5" s="129"/>
      <c r="H5" s="134"/>
      <c r="I5" s="134"/>
      <c r="J5" s="129"/>
    </row>
    <row r="6" spans="1:11" x14ac:dyDescent="0.55000000000000004">
      <c r="A6" s="118"/>
      <c r="B6" s="124"/>
      <c r="C6" s="119"/>
      <c r="D6" s="123"/>
      <c r="E6" s="120"/>
      <c r="F6" s="121"/>
      <c r="G6" s="121"/>
      <c r="H6" s="122"/>
      <c r="I6" s="122"/>
    </row>
    <row r="7" spans="1:11" x14ac:dyDescent="0.55000000000000004">
      <c r="A7" s="101"/>
      <c r="B7" s="61"/>
      <c r="C7" s="55"/>
      <c r="E7" s="42"/>
      <c r="F7" s="47"/>
      <c r="G7" s="47"/>
      <c r="H7" s="48"/>
      <c r="I7" s="48"/>
    </row>
    <row r="8" spans="1:11" x14ac:dyDescent="0.55000000000000004">
      <c r="A8" s="99"/>
      <c r="B8" s="89"/>
      <c r="C8" s="82"/>
      <c r="E8" s="83"/>
      <c r="F8" s="84"/>
      <c r="G8" s="84"/>
      <c r="H8" s="84"/>
      <c r="I8" s="85"/>
    </row>
    <row r="9" spans="1:11" x14ac:dyDescent="0.55000000000000004">
      <c r="A9" s="99"/>
      <c r="B9" s="89"/>
      <c r="C9" s="82"/>
      <c r="D9" s="86"/>
      <c r="E9" s="83"/>
      <c r="F9" s="84"/>
      <c r="G9" s="84"/>
      <c r="H9" s="85"/>
      <c r="I9" s="85"/>
    </row>
    <row r="10" spans="1:11" x14ac:dyDescent="0.55000000000000004">
      <c r="A10" s="97"/>
      <c r="B10" s="54"/>
      <c r="C10" s="16"/>
      <c r="E10" s="42"/>
      <c r="F10" s="19"/>
      <c r="G10" s="19"/>
      <c r="H10" s="17"/>
      <c r="I10" s="17"/>
    </row>
    <row r="11" spans="1:11" x14ac:dyDescent="0.55000000000000004">
      <c r="A11" s="100"/>
      <c r="B11" s="66"/>
      <c r="C11" s="55"/>
      <c r="E11" s="42"/>
      <c r="F11" s="58"/>
      <c r="G11" s="58"/>
      <c r="H11" s="59"/>
      <c r="I11" s="59"/>
    </row>
    <row r="12" spans="1:11" x14ac:dyDescent="0.55000000000000004">
      <c r="A12" s="101"/>
      <c r="B12" s="61"/>
      <c r="C12" s="45"/>
      <c r="E12" s="42"/>
      <c r="F12" s="47"/>
      <c r="G12" s="48"/>
      <c r="H12" s="48"/>
      <c r="I12" s="48"/>
    </row>
    <row r="13" spans="1:11" x14ac:dyDescent="0.55000000000000004">
      <c r="A13" s="101"/>
      <c r="B13" s="61"/>
      <c r="C13" s="45"/>
      <c r="D13" s="46"/>
      <c r="E13" s="42"/>
      <c r="F13" s="47"/>
      <c r="G13" s="47"/>
      <c r="H13" s="48"/>
      <c r="I13" s="48"/>
    </row>
    <row r="14" spans="1:11" x14ac:dyDescent="0.55000000000000004">
      <c r="A14" s="97"/>
      <c r="B14" s="54"/>
      <c r="C14" s="16"/>
      <c r="E14" s="14"/>
      <c r="F14" s="19"/>
      <c r="G14" s="19"/>
      <c r="H14" s="17"/>
      <c r="I14" s="17"/>
    </row>
    <row r="15" spans="1:11" x14ac:dyDescent="0.55000000000000004">
      <c r="A15" s="97"/>
      <c r="B15" s="54"/>
      <c r="C15" s="16"/>
      <c r="E15" s="14"/>
      <c r="F15" s="19"/>
      <c r="G15" s="19"/>
      <c r="H15" s="17"/>
      <c r="I15" s="17"/>
    </row>
    <row r="16" spans="1:11" x14ac:dyDescent="0.55000000000000004">
      <c r="A16" s="97"/>
      <c r="B16" s="54"/>
      <c r="C16" s="16"/>
      <c r="E16" s="14"/>
      <c r="F16" s="19"/>
      <c r="G16" s="19"/>
      <c r="H16" s="17"/>
      <c r="I16" s="17"/>
    </row>
    <row r="17" spans="1:9" x14ac:dyDescent="0.55000000000000004">
      <c r="A17" s="97"/>
      <c r="B17" s="54"/>
      <c r="C17" s="16"/>
      <c r="E17" s="14"/>
      <c r="F17" s="19"/>
      <c r="G17" s="19"/>
      <c r="H17" s="17"/>
      <c r="I17" s="17"/>
    </row>
    <row r="18" spans="1:9" x14ac:dyDescent="0.55000000000000004">
      <c r="A18" s="97"/>
      <c r="B18" s="54"/>
      <c r="C18" s="16"/>
      <c r="E18" s="14"/>
      <c r="F18" s="19"/>
      <c r="G18" s="19"/>
      <c r="H18" s="17"/>
      <c r="I18" s="17"/>
    </row>
    <row r="19" spans="1:9" x14ac:dyDescent="0.55000000000000004">
      <c r="A19" s="97"/>
      <c r="B19" s="54"/>
      <c r="C19" s="16"/>
      <c r="E19" s="14"/>
      <c r="F19" s="19"/>
      <c r="G19" s="19"/>
      <c r="H19" s="17"/>
      <c r="I19" s="17"/>
    </row>
    <row r="20" spans="1:9" x14ac:dyDescent="0.55000000000000004">
      <c r="C20" s="11"/>
    </row>
    <row r="21" spans="1:9" x14ac:dyDescent="0.55000000000000004">
      <c r="C21" s="11"/>
    </row>
  </sheetData>
  <pageMargins left="0.7" right="0.7" top="0.75" bottom="0.75" header="0.3" footer="0.3"/>
  <pageSetup paperSize="9" orientation="portrait" verticalDpi="0"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'Supplier (COA)'!$H$3:$H$5</xm:f>
          </x14:formula1>
          <xm:sqref>C2:C48</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K56"/>
  <sheetViews>
    <sheetView zoomScaleNormal="100" workbookViewId="0">
      <selection activeCell="J1" sqref="J1"/>
    </sheetView>
  </sheetViews>
  <sheetFormatPr defaultColWidth="8.7109375" defaultRowHeight="21.75" x14ac:dyDescent="0.55000000000000004"/>
  <cols>
    <col min="1" max="1" width="14.7109375" style="96" customWidth="1"/>
    <col min="2" max="2" width="12.28515625" style="11" customWidth="1"/>
    <col min="3" max="3" width="12.28515625" style="1" customWidth="1"/>
    <col min="4" max="4" width="24.42578125" style="1" bestFit="1" customWidth="1"/>
    <col min="5" max="5" width="33.5703125" style="7" customWidth="1"/>
    <col min="6" max="6" width="17.5703125" style="8" bestFit="1" customWidth="1"/>
    <col min="7" max="7" width="18.42578125" style="8" customWidth="1"/>
    <col min="8" max="8" width="16.85546875" style="9" customWidth="1"/>
    <col min="9" max="9" width="14.7109375" style="9" bestFit="1" customWidth="1"/>
    <col min="10" max="10" width="16.140625" style="9" customWidth="1"/>
    <col min="11" max="11" width="10.85546875" style="9" bestFit="1" customWidth="1"/>
    <col min="12" max="16384" width="8.7109375" style="1"/>
  </cols>
  <sheetData>
    <row r="1" spans="1:11" s="7" customFormat="1" x14ac:dyDescent="0.55000000000000004">
      <c r="A1" s="96" t="s">
        <v>1</v>
      </c>
      <c r="B1" s="11" t="s">
        <v>73</v>
      </c>
      <c r="C1" s="11" t="s">
        <v>70</v>
      </c>
      <c r="D1" s="1" t="s">
        <v>3</v>
      </c>
      <c r="E1" s="7" t="s">
        <v>4</v>
      </c>
      <c r="F1" s="8" t="s">
        <v>5</v>
      </c>
      <c r="G1" s="8" t="s">
        <v>6</v>
      </c>
      <c r="H1" s="8" t="s">
        <v>7</v>
      </c>
      <c r="I1" s="8" t="s">
        <v>8</v>
      </c>
      <c r="J1" s="129" t="s">
        <v>124</v>
      </c>
      <c r="K1" s="8"/>
    </row>
    <row r="2" spans="1:11" x14ac:dyDescent="0.55000000000000004">
      <c r="A2" s="97">
        <v>44409</v>
      </c>
      <c r="B2" s="16"/>
      <c r="C2" s="16" t="s">
        <v>5</v>
      </c>
      <c r="D2" s="1" t="s">
        <v>48</v>
      </c>
      <c r="E2" s="7" t="s">
        <v>5</v>
      </c>
      <c r="F2" s="19">
        <v>1342500</v>
      </c>
      <c r="G2" s="19"/>
      <c r="H2" s="17"/>
      <c r="I2" s="17">
        <f>STL[[#This Row],[Opening]]+STL[[#This Row],[Purchase]]-STL[[#This Row],[Payment]]</f>
        <v>1342500</v>
      </c>
      <c r="J2" s="129">
        <f>STL[[#This Row],[Balance]]</f>
        <v>1342500</v>
      </c>
    </row>
    <row r="3" spans="1:11" x14ac:dyDescent="0.55000000000000004">
      <c r="A3" s="97">
        <v>44428</v>
      </c>
      <c r="B3" s="16">
        <v>80203</v>
      </c>
      <c r="C3" s="16" t="s">
        <v>6</v>
      </c>
      <c r="D3" s="1" t="s">
        <v>48</v>
      </c>
      <c r="E3" s="42" t="s">
        <v>104</v>
      </c>
      <c r="F3" s="19"/>
      <c r="G3" s="19">
        <v>374000</v>
      </c>
      <c r="H3" s="17"/>
      <c r="I3" s="17">
        <f>STL[[#This Row],[Opening]]+STL[[#This Row],[Purchase]]-STL[[#This Row],[Payment]]</f>
        <v>374000</v>
      </c>
      <c r="J3" s="129">
        <f>J2+STL[[#This Row],[Purchase]]-STL[[#This Row],[Payment]]</f>
        <v>1716500</v>
      </c>
    </row>
    <row r="4" spans="1:11" x14ac:dyDescent="0.55000000000000004">
      <c r="A4" s="112">
        <v>44433</v>
      </c>
      <c r="B4" s="113">
        <v>881</v>
      </c>
      <c r="C4" s="113" t="s">
        <v>7</v>
      </c>
      <c r="D4" s="1" t="s">
        <v>48</v>
      </c>
      <c r="E4" s="42" t="s">
        <v>106</v>
      </c>
      <c r="F4" s="116"/>
      <c r="G4" s="116"/>
      <c r="H4" s="117">
        <v>1000000</v>
      </c>
      <c r="I4" s="117">
        <f>STL[[#This Row],[Opening]]+STL[[#This Row],[Purchase]]-STL[[#This Row],[Payment]]</f>
        <v>-1000000</v>
      </c>
      <c r="J4" s="129">
        <f>J3+STL[[#This Row],[Purchase]]-STL[[#This Row],[Payment]]</f>
        <v>716500</v>
      </c>
    </row>
    <row r="5" spans="1:11" x14ac:dyDescent="0.55000000000000004">
      <c r="A5" s="101">
        <v>44434</v>
      </c>
      <c r="B5" s="45">
        <v>878</v>
      </c>
      <c r="C5" s="45" t="s">
        <v>6</v>
      </c>
      <c r="D5" s="1" t="s">
        <v>48</v>
      </c>
      <c r="E5" s="42" t="s">
        <v>111</v>
      </c>
      <c r="F5" s="47"/>
      <c r="G5" s="47">
        <v>280000</v>
      </c>
      <c r="H5" s="48"/>
      <c r="I5" s="48">
        <f>STL[[#This Row],[Opening]]+STL[[#This Row],[Purchase]]-STL[[#This Row],[Payment]]</f>
        <v>280000</v>
      </c>
      <c r="J5" s="129">
        <f>J4+STL[[#This Row],[Purchase]]-STL[[#This Row],[Payment]]</f>
        <v>996500</v>
      </c>
    </row>
    <row r="6" spans="1:11" x14ac:dyDescent="0.55000000000000004">
      <c r="A6" s="101">
        <v>44432</v>
      </c>
      <c r="B6" s="45">
        <v>850</v>
      </c>
      <c r="C6" s="45" t="s">
        <v>6</v>
      </c>
      <c r="D6" s="1" t="s">
        <v>48</v>
      </c>
      <c r="E6" s="42" t="s">
        <v>112</v>
      </c>
      <c r="F6" s="47"/>
      <c r="G6" s="47">
        <v>110000</v>
      </c>
      <c r="H6" s="48"/>
      <c r="I6" s="48">
        <f>STL[[#This Row],[Opening]]+STL[[#This Row],[Purchase]]-STL[[#This Row],[Payment]]</f>
        <v>110000</v>
      </c>
      <c r="J6" s="129">
        <f>J5+STL[[#This Row],[Purchase]]-STL[[#This Row],[Payment]]</f>
        <v>1106500</v>
      </c>
    </row>
    <row r="7" spans="1:11" x14ac:dyDescent="0.55000000000000004">
      <c r="A7" s="101">
        <v>44432</v>
      </c>
      <c r="B7" s="45">
        <v>849</v>
      </c>
      <c r="C7" s="45" t="s">
        <v>6</v>
      </c>
      <c r="D7" s="1" t="s">
        <v>48</v>
      </c>
      <c r="E7" s="42" t="s">
        <v>112</v>
      </c>
      <c r="F7" s="47"/>
      <c r="G7" s="47">
        <v>110000</v>
      </c>
      <c r="H7" s="48"/>
      <c r="I7" s="48">
        <f>STL[[#This Row],[Opening]]+STL[[#This Row],[Purchase]]-STL[[#This Row],[Payment]]</f>
        <v>110000</v>
      </c>
      <c r="J7" s="129">
        <f>J6+STL[[#This Row],[Purchase]]-STL[[#This Row],[Payment]]</f>
        <v>1216500</v>
      </c>
    </row>
    <row r="8" spans="1:11" x14ac:dyDescent="0.55000000000000004">
      <c r="A8" s="101">
        <v>44435</v>
      </c>
      <c r="B8" s="45">
        <v>2503</v>
      </c>
      <c r="C8" s="45" t="s">
        <v>6</v>
      </c>
      <c r="D8" s="1" t="s">
        <v>48</v>
      </c>
      <c r="E8" s="42" t="s">
        <v>117</v>
      </c>
      <c r="F8" s="47"/>
      <c r="G8" s="47">
        <v>95000</v>
      </c>
      <c r="H8" s="48"/>
      <c r="I8" s="48">
        <f>STL[[#This Row],[Opening]]+STL[[#This Row],[Purchase]]-STL[[#This Row],[Payment]]</f>
        <v>95000</v>
      </c>
      <c r="J8" s="129">
        <f>J7+STL[[#This Row],[Purchase]]-STL[[#This Row],[Payment]]</f>
        <v>1311500</v>
      </c>
    </row>
    <row r="9" spans="1:11" x14ac:dyDescent="0.55000000000000004">
      <c r="A9" s="118"/>
      <c r="B9" s="119"/>
      <c r="C9" s="119"/>
      <c r="D9" s="123"/>
      <c r="E9" s="120"/>
      <c r="F9" s="121"/>
      <c r="G9" s="121"/>
      <c r="H9" s="122"/>
      <c r="I9" s="122"/>
    </row>
    <row r="10" spans="1:11" x14ac:dyDescent="0.55000000000000004">
      <c r="A10" s="118"/>
      <c r="B10" s="119"/>
      <c r="C10" s="119"/>
      <c r="D10" s="123"/>
      <c r="E10" s="120"/>
      <c r="F10" s="121"/>
      <c r="G10" s="121"/>
      <c r="H10" s="122"/>
      <c r="I10" s="122"/>
    </row>
    <row r="11" spans="1:11" x14ac:dyDescent="0.55000000000000004">
      <c r="A11" s="98"/>
      <c r="B11" s="90"/>
      <c r="C11" s="90"/>
      <c r="E11" s="92"/>
      <c r="F11" s="93"/>
      <c r="G11" s="93"/>
      <c r="H11" s="94"/>
      <c r="I11" s="94"/>
    </row>
    <row r="12" spans="1:11" x14ac:dyDescent="0.55000000000000004">
      <c r="A12" s="98"/>
      <c r="B12" s="90"/>
      <c r="C12" s="90"/>
      <c r="E12" s="92"/>
      <c r="F12" s="93"/>
      <c r="G12" s="93"/>
      <c r="H12" s="94"/>
      <c r="I12" s="94"/>
    </row>
    <row r="13" spans="1:11" x14ac:dyDescent="0.55000000000000004">
      <c r="A13" s="98"/>
      <c r="B13" s="90"/>
      <c r="C13" s="90"/>
      <c r="E13" s="92"/>
      <c r="F13" s="93"/>
      <c r="G13" s="93"/>
      <c r="H13" s="94"/>
      <c r="I13" s="94"/>
    </row>
    <row r="14" spans="1:11" x14ac:dyDescent="0.55000000000000004">
      <c r="A14" s="98"/>
      <c r="B14" s="90"/>
      <c r="C14" s="90"/>
      <c r="E14" s="92"/>
      <c r="F14" s="93"/>
      <c r="G14" s="93"/>
      <c r="H14" s="94"/>
      <c r="I14" s="94"/>
      <c r="K14" s="1"/>
    </row>
    <row r="15" spans="1:11" x14ac:dyDescent="0.55000000000000004">
      <c r="A15" s="98"/>
      <c r="B15" s="90"/>
      <c r="C15" s="90"/>
      <c r="E15" s="92"/>
      <c r="F15" s="93"/>
      <c r="G15" s="93"/>
      <c r="H15" s="94"/>
      <c r="I15" s="94"/>
      <c r="K15" s="1"/>
    </row>
    <row r="16" spans="1:11" x14ac:dyDescent="0.55000000000000004">
      <c r="A16" s="98"/>
      <c r="B16" s="90"/>
      <c r="C16" s="90"/>
      <c r="D16" s="91"/>
      <c r="E16" s="92"/>
      <c r="F16" s="93"/>
      <c r="G16" s="93"/>
      <c r="H16" s="94"/>
      <c r="I16" s="94"/>
      <c r="K16" s="1"/>
    </row>
    <row r="17" spans="1:11" x14ac:dyDescent="0.55000000000000004">
      <c r="A17" s="99"/>
      <c r="B17" s="82"/>
      <c r="C17" s="82"/>
      <c r="E17" s="83"/>
      <c r="F17" s="84"/>
      <c r="G17" s="84"/>
      <c r="H17" s="85"/>
      <c r="I17" s="85"/>
      <c r="K17" s="1"/>
    </row>
    <row r="18" spans="1:11" x14ac:dyDescent="0.55000000000000004">
      <c r="A18" s="99"/>
      <c r="B18" s="82"/>
      <c r="C18" s="82"/>
      <c r="E18" s="83"/>
      <c r="F18" s="84"/>
      <c r="G18" s="84"/>
      <c r="H18" s="85"/>
      <c r="I18" s="85"/>
      <c r="K18" s="1"/>
    </row>
    <row r="19" spans="1:11" x14ac:dyDescent="0.55000000000000004">
      <c r="A19" s="99"/>
      <c r="B19" s="82"/>
      <c r="C19" s="82"/>
      <c r="E19" s="83"/>
      <c r="F19" s="84"/>
      <c r="G19" s="84"/>
      <c r="H19" s="85"/>
      <c r="I19" s="85"/>
      <c r="K19" s="1"/>
    </row>
    <row r="20" spans="1:11" x14ac:dyDescent="0.55000000000000004">
      <c r="A20" s="99"/>
      <c r="B20" s="82"/>
      <c r="C20" s="82"/>
      <c r="E20" s="83"/>
      <c r="F20" s="84"/>
      <c r="G20" s="84"/>
      <c r="H20" s="85"/>
      <c r="I20" s="85"/>
      <c r="K20" s="1"/>
    </row>
    <row r="21" spans="1:11" x14ac:dyDescent="0.55000000000000004">
      <c r="A21" s="99"/>
      <c r="B21" s="82"/>
      <c r="C21" s="82"/>
      <c r="E21" s="83"/>
      <c r="F21" s="84"/>
      <c r="G21" s="84"/>
      <c r="H21" s="85"/>
      <c r="I21" s="85"/>
      <c r="K21" s="1"/>
    </row>
    <row r="22" spans="1:11" x14ac:dyDescent="0.55000000000000004">
      <c r="A22" s="99"/>
      <c r="B22" s="82"/>
      <c r="C22" s="82"/>
      <c r="D22" s="41"/>
      <c r="E22" s="83"/>
      <c r="F22" s="84"/>
      <c r="G22" s="84"/>
      <c r="H22" s="85"/>
      <c r="I22" s="85"/>
      <c r="K22" s="1"/>
    </row>
    <row r="23" spans="1:11" x14ac:dyDescent="0.55000000000000004">
      <c r="A23" s="99"/>
      <c r="B23" s="82"/>
      <c r="C23" s="82"/>
      <c r="D23" s="41"/>
      <c r="E23" s="83"/>
      <c r="F23" s="84"/>
      <c r="G23" s="84"/>
      <c r="H23" s="85"/>
      <c r="I23" s="85"/>
      <c r="K23" s="1"/>
    </row>
    <row r="24" spans="1:11" x14ac:dyDescent="0.55000000000000004">
      <c r="A24" s="99"/>
      <c r="B24" s="82"/>
      <c r="C24" s="82"/>
      <c r="D24" s="41"/>
      <c r="E24" s="83"/>
      <c r="F24" s="84"/>
      <c r="G24" s="84"/>
      <c r="H24" s="85"/>
      <c r="I24" s="85"/>
    </row>
    <row r="25" spans="1:11" x14ac:dyDescent="0.55000000000000004">
      <c r="A25" s="99"/>
      <c r="B25" s="82"/>
      <c r="C25" s="82"/>
      <c r="D25" s="41"/>
      <c r="E25" s="83"/>
      <c r="F25" s="84"/>
      <c r="G25" s="84"/>
      <c r="H25" s="85"/>
      <c r="I25" s="85"/>
    </row>
    <row r="26" spans="1:11" x14ac:dyDescent="0.55000000000000004">
      <c r="A26" s="99"/>
      <c r="B26" s="82"/>
      <c r="C26" s="82"/>
      <c r="D26" s="86"/>
      <c r="E26" s="83"/>
      <c r="F26" s="84"/>
      <c r="G26" s="84"/>
      <c r="H26" s="85"/>
      <c r="I26" s="85"/>
    </row>
    <row r="27" spans="1:11" x14ac:dyDescent="0.55000000000000004">
      <c r="A27" s="100"/>
      <c r="B27" s="55"/>
      <c r="C27" s="55"/>
      <c r="E27" s="57"/>
      <c r="F27" s="58"/>
      <c r="G27" s="58"/>
      <c r="H27" s="59"/>
      <c r="I27" s="59"/>
    </row>
    <row r="28" spans="1:11" x14ac:dyDescent="0.55000000000000004">
      <c r="A28" s="100"/>
      <c r="B28" s="55"/>
      <c r="C28" s="55"/>
      <c r="E28" s="57"/>
      <c r="F28" s="58"/>
      <c r="G28" s="58"/>
      <c r="H28" s="59"/>
      <c r="I28" s="59"/>
    </row>
    <row r="29" spans="1:11" x14ac:dyDescent="0.55000000000000004">
      <c r="A29" s="100"/>
      <c r="B29" s="55"/>
      <c r="C29" s="55"/>
      <c r="E29" s="42"/>
      <c r="F29" s="58"/>
      <c r="G29" s="58"/>
      <c r="H29" s="59"/>
      <c r="I29" s="59"/>
    </row>
    <row r="30" spans="1:11" x14ac:dyDescent="0.55000000000000004">
      <c r="A30" s="101"/>
      <c r="B30" s="45"/>
      <c r="C30" s="45"/>
      <c r="E30" s="42"/>
      <c r="F30" s="47"/>
      <c r="G30" s="47"/>
      <c r="H30" s="48"/>
      <c r="I30" s="48"/>
    </row>
    <row r="31" spans="1:11" x14ac:dyDescent="0.55000000000000004">
      <c r="A31" s="100"/>
      <c r="B31" s="55"/>
      <c r="C31" s="55"/>
      <c r="E31" s="57"/>
      <c r="F31" s="58"/>
      <c r="G31" s="58"/>
      <c r="H31" s="59"/>
      <c r="I31" s="59"/>
    </row>
    <row r="32" spans="1:11" x14ac:dyDescent="0.55000000000000004">
      <c r="A32" s="100"/>
      <c r="B32" s="55"/>
      <c r="C32" s="55"/>
      <c r="D32" s="56"/>
      <c r="E32" s="57"/>
      <c r="F32" s="58"/>
      <c r="G32" s="58"/>
      <c r="H32" s="59"/>
      <c r="I32" s="59"/>
    </row>
    <row r="33" spans="1:9" x14ac:dyDescent="0.55000000000000004">
      <c r="A33" s="97"/>
      <c r="B33" s="16"/>
      <c r="C33" s="16"/>
      <c r="E33" s="42"/>
      <c r="F33" s="19"/>
      <c r="G33" s="19"/>
      <c r="H33" s="17"/>
      <c r="I33" s="17"/>
    </row>
    <row r="34" spans="1:9" x14ac:dyDescent="0.55000000000000004">
      <c r="A34" s="102"/>
      <c r="B34" s="51"/>
      <c r="C34" s="51"/>
      <c r="E34" s="42"/>
      <c r="F34" s="50"/>
      <c r="G34" s="50"/>
      <c r="H34" s="53"/>
      <c r="I34" s="53"/>
    </row>
    <row r="35" spans="1:9" x14ac:dyDescent="0.55000000000000004">
      <c r="A35" s="97"/>
      <c r="B35" s="16"/>
      <c r="C35" s="16"/>
      <c r="E35" s="42"/>
      <c r="F35" s="19"/>
      <c r="G35" s="19"/>
      <c r="H35" s="17"/>
      <c r="I35" s="17"/>
    </row>
    <row r="36" spans="1:9" x14ac:dyDescent="0.55000000000000004">
      <c r="A36" s="97"/>
      <c r="B36" s="16"/>
      <c r="C36" s="16"/>
      <c r="E36" s="42"/>
      <c r="F36" s="19"/>
      <c r="G36" s="19"/>
      <c r="H36" s="17"/>
      <c r="I36" s="17"/>
    </row>
    <row r="37" spans="1:9" x14ac:dyDescent="0.55000000000000004">
      <c r="A37" s="102"/>
      <c r="B37" s="51"/>
      <c r="C37" s="51"/>
      <c r="E37" s="42"/>
      <c r="F37" s="50"/>
      <c r="G37" s="50"/>
      <c r="H37" s="53"/>
      <c r="I37" s="53"/>
    </row>
    <row r="38" spans="1:9" x14ac:dyDescent="0.55000000000000004">
      <c r="A38" s="102"/>
      <c r="B38" s="51"/>
      <c r="C38" s="51"/>
      <c r="E38" s="52"/>
      <c r="F38" s="50"/>
      <c r="G38" s="50"/>
      <c r="H38" s="53"/>
      <c r="I38" s="53"/>
    </row>
    <row r="39" spans="1:9" x14ac:dyDescent="0.55000000000000004">
      <c r="A39" s="102"/>
      <c r="B39" s="51"/>
      <c r="C39" s="51"/>
      <c r="E39" s="42"/>
      <c r="F39" s="50"/>
      <c r="G39" s="50"/>
      <c r="H39" s="53"/>
      <c r="I39" s="53"/>
    </row>
    <row r="40" spans="1:9" x14ac:dyDescent="0.55000000000000004">
      <c r="A40" s="102"/>
      <c r="B40" s="51"/>
      <c r="C40" s="51"/>
      <c r="E40" s="42"/>
      <c r="F40" s="50"/>
      <c r="G40" s="50"/>
      <c r="H40" s="53"/>
      <c r="I40" s="53"/>
    </row>
    <row r="41" spans="1:9" x14ac:dyDescent="0.55000000000000004">
      <c r="A41" s="101"/>
      <c r="B41" s="45"/>
      <c r="C41" s="45"/>
      <c r="D41" s="46"/>
      <c r="E41" s="42"/>
      <c r="F41" s="47"/>
      <c r="G41" s="47"/>
      <c r="H41" s="48"/>
      <c r="I41" s="48"/>
    </row>
    <row r="42" spans="1:9" x14ac:dyDescent="0.55000000000000004">
      <c r="A42" s="97"/>
      <c r="B42" s="16"/>
      <c r="C42" s="16"/>
      <c r="F42" s="19"/>
      <c r="G42" s="19"/>
      <c r="H42" s="17"/>
      <c r="I42" s="17"/>
    </row>
    <row r="43" spans="1:9" x14ac:dyDescent="0.55000000000000004">
      <c r="A43" s="97"/>
      <c r="B43" s="16"/>
      <c r="C43" s="16"/>
      <c r="F43" s="19"/>
      <c r="G43" s="19"/>
      <c r="H43" s="17"/>
      <c r="I43" s="17"/>
    </row>
    <row r="44" spans="1:9" x14ac:dyDescent="0.55000000000000004">
      <c r="A44" s="97"/>
      <c r="B44" s="16"/>
      <c r="C44" s="16"/>
      <c r="F44" s="19"/>
      <c r="G44" s="19"/>
      <c r="H44" s="17"/>
      <c r="I44" s="17"/>
    </row>
    <row r="45" spans="1:9" x14ac:dyDescent="0.55000000000000004">
      <c r="C45" s="16"/>
    </row>
    <row r="46" spans="1:9" x14ac:dyDescent="0.55000000000000004">
      <c r="C46" s="11"/>
    </row>
    <row r="47" spans="1:9" x14ac:dyDescent="0.55000000000000004">
      <c r="C47" s="11"/>
    </row>
    <row r="48" spans="1:9" x14ac:dyDescent="0.55000000000000004">
      <c r="C48" s="11"/>
    </row>
    <row r="49" spans="2:9" x14ac:dyDescent="0.55000000000000004">
      <c r="B49" s="38"/>
      <c r="C49" s="38"/>
      <c r="F49" s="39"/>
      <c r="G49" s="39"/>
      <c r="H49" s="40"/>
      <c r="I49" s="40"/>
    </row>
    <row r="50" spans="2:9" x14ac:dyDescent="0.55000000000000004">
      <c r="C50" s="11"/>
      <c r="D50" s="27"/>
    </row>
    <row r="51" spans="2:9" x14ac:dyDescent="0.55000000000000004">
      <c r="C51" s="11"/>
      <c r="D51" s="27"/>
    </row>
    <row r="52" spans="2:9" x14ac:dyDescent="0.55000000000000004">
      <c r="C52" s="11"/>
      <c r="D52" s="27"/>
    </row>
    <row r="53" spans="2:9" x14ac:dyDescent="0.55000000000000004">
      <c r="C53" s="11"/>
      <c r="D53" s="27"/>
    </row>
    <row r="54" spans="2:9" x14ac:dyDescent="0.55000000000000004">
      <c r="C54" s="11"/>
      <c r="D54" s="27"/>
    </row>
    <row r="55" spans="2:9" x14ac:dyDescent="0.55000000000000004">
      <c r="C55" s="11"/>
      <c r="D55" s="27"/>
    </row>
    <row r="56" spans="2:9" x14ac:dyDescent="0.55000000000000004">
      <c r="C56" s="11"/>
      <c r="D56" s="27"/>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'Supplier (COA)'!$H$3:$H$5</xm:f>
          </x14:formula1>
          <xm:sqref>C2:C51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K12"/>
  <sheetViews>
    <sheetView workbookViewId="0">
      <selection activeCell="J1" sqref="J1"/>
    </sheetView>
  </sheetViews>
  <sheetFormatPr defaultColWidth="8.7109375" defaultRowHeight="21.75" x14ac:dyDescent="0.55000000000000004"/>
  <cols>
    <col min="1" max="1" width="14.7109375" style="96" customWidth="1"/>
    <col min="2" max="2" width="12.28515625" style="11" customWidth="1"/>
    <col min="3" max="3" width="12.28515625" style="1" customWidth="1"/>
    <col min="4" max="4" width="24.42578125" style="1" bestFit="1" customWidth="1"/>
    <col min="5" max="5" width="32.7109375" style="7" customWidth="1"/>
    <col min="6" max="6" width="17.5703125" style="8" bestFit="1" customWidth="1"/>
    <col min="7" max="7" width="18.42578125" style="8" customWidth="1"/>
    <col min="8" max="8" width="15.42578125" style="9" customWidth="1"/>
    <col min="9" max="9" width="14.7109375" style="9" bestFit="1" customWidth="1"/>
    <col min="10" max="10" width="19" style="9" customWidth="1"/>
    <col min="11" max="11" width="10.85546875" style="9" bestFit="1" customWidth="1"/>
    <col min="12" max="16384" width="8.7109375" style="1"/>
  </cols>
  <sheetData>
    <row r="1" spans="1:11" s="7" customFormat="1" x14ac:dyDescent="0.55000000000000004">
      <c r="A1" s="96" t="s">
        <v>1</v>
      </c>
      <c r="B1" s="11" t="s">
        <v>73</v>
      </c>
      <c r="C1" s="11" t="s">
        <v>70</v>
      </c>
      <c r="D1" s="1" t="s">
        <v>3</v>
      </c>
      <c r="E1" s="7" t="s">
        <v>4</v>
      </c>
      <c r="F1" s="8" t="s">
        <v>5</v>
      </c>
      <c r="G1" s="8" t="s">
        <v>6</v>
      </c>
      <c r="H1" s="8" t="s">
        <v>7</v>
      </c>
      <c r="I1" s="8" t="s">
        <v>8</v>
      </c>
      <c r="J1" s="129" t="s">
        <v>124</v>
      </c>
      <c r="K1" s="8"/>
    </row>
    <row r="2" spans="1:11" x14ac:dyDescent="0.55000000000000004">
      <c r="A2" s="97">
        <v>44409</v>
      </c>
      <c r="B2" s="16"/>
      <c r="C2" s="16" t="s">
        <v>5</v>
      </c>
      <c r="D2" s="1" t="s">
        <v>50</v>
      </c>
      <c r="E2" s="7" t="s">
        <v>5</v>
      </c>
      <c r="F2" s="19"/>
      <c r="G2" s="19"/>
      <c r="H2" s="17"/>
      <c r="I2" s="17">
        <f>SYS[[#This Row],[Opening]]+SYS[[#This Row],[Purchase]]-SYS[[#This Row],[Payment]]</f>
        <v>0</v>
      </c>
      <c r="J2" s="129">
        <f>SYS[Balance]</f>
        <v>0</v>
      </c>
    </row>
    <row r="3" spans="1:11" x14ac:dyDescent="0.55000000000000004">
      <c r="A3" s="97"/>
      <c r="B3" s="16"/>
      <c r="C3" s="16"/>
      <c r="E3" s="42"/>
      <c r="F3" s="19"/>
      <c r="G3" s="19"/>
      <c r="H3" s="17"/>
      <c r="I3" s="17"/>
    </row>
    <row r="4" spans="1:11" x14ac:dyDescent="0.55000000000000004">
      <c r="A4" s="100"/>
      <c r="B4" s="55"/>
      <c r="C4" s="55"/>
      <c r="D4" s="56"/>
      <c r="E4" s="57"/>
      <c r="F4" s="58"/>
      <c r="G4" s="58"/>
      <c r="H4" s="59"/>
      <c r="I4" s="59"/>
    </row>
    <row r="5" spans="1:11" x14ac:dyDescent="0.55000000000000004">
      <c r="A5" s="97"/>
      <c r="B5" s="16"/>
      <c r="C5" s="16"/>
      <c r="F5" s="19"/>
      <c r="G5" s="19"/>
      <c r="H5" s="17"/>
      <c r="I5" s="17"/>
    </row>
    <row r="6" spans="1:11" x14ac:dyDescent="0.55000000000000004">
      <c r="A6" s="97"/>
      <c r="B6" s="16"/>
      <c r="C6" s="16"/>
      <c r="F6" s="19"/>
      <c r="G6" s="19"/>
      <c r="H6" s="17"/>
      <c r="I6" s="17"/>
    </row>
    <row r="7" spans="1:11" x14ac:dyDescent="0.55000000000000004">
      <c r="A7" s="97"/>
      <c r="B7" s="16"/>
      <c r="C7" s="16"/>
      <c r="E7" s="14"/>
      <c r="F7" s="19"/>
      <c r="G7" s="19"/>
      <c r="H7" s="17"/>
      <c r="I7" s="17"/>
    </row>
    <row r="8" spans="1:11" x14ac:dyDescent="0.55000000000000004">
      <c r="A8" s="97"/>
      <c r="B8" s="16"/>
      <c r="C8" s="16"/>
      <c r="E8" s="14"/>
      <c r="F8" s="19"/>
      <c r="G8" s="19"/>
      <c r="H8" s="17"/>
      <c r="I8" s="17"/>
    </row>
    <row r="9" spans="1:11" x14ac:dyDescent="0.55000000000000004">
      <c r="A9" s="97"/>
      <c r="B9" s="16"/>
      <c r="C9" s="16"/>
      <c r="E9" s="14"/>
      <c r="F9" s="19"/>
      <c r="G9" s="19"/>
      <c r="H9" s="17"/>
      <c r="I9" s="17"/>
    </row>
    <row r="10" spans="1:11" x14ac:dyDescent="0.55000000000000004">
      <c r="A10" s="97"/>
      <c r="B10" s="16"/>
      <c r="C10" s="16"/>
      <c r="E10" s="14"/>
      <c r="F10" s="19"/>
      <c r="G10" s="19"/>
      <c r="H10" s="17"/>
      <c r="I10" s="17"/>
    </row>
    <row r="11" spans="1:11" x14ac:dyDescent="0.55000000000000004">
      <c r="C11" s="11"/>
    </row>
    <row r="12" spans="1:11" x14ac:dyDescent="0.55000000000000004">
      <c r="C12" s="11"/>
    </row>
  </sheetData>
  <pageMargins left="0.7" right="0.7" top="0.75" bottom="0.75" header="0.3" footer="0.3"/>
  <pageSetup orientation="portrait" horizontalDpi="0" verticalDpi="0"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'Supplier (COA)'!$H$3:$H$5</xm:f>
          </x14:formula1>
          <xm:sqref>C2:C42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K16"/>
  <sheetViews>
    <sheetView workbookViewId="0">
      <selection activeCell="J1" sqref="J1"/>
    </sheetView>
  </sheetViews>
  <sheetFormatPr defaultColWidth="8.7109375" defaultRowHeight="21.75" x14ac:dyDescent="0.55000000000000004"/>
  <cols>
    <col min="1" max="1" width="14.7109375" style="96" customWidth="1"/>
    <col min="2" max="2" width="12.28515625" style="11" customWidth="1"/>
    <col min="3" max="3" width="12.5703125" style="1" customWidth="1"/>
    <col min="4" max="4" width="19.140625" style="1" customWidth="1"/>
    <col min="5" max="5" width="30.140625" style="7" customWidth="1"/>
    <col min="6" max="6" width="13" style="19" customWidth="1"/>
    <col min="7" max="7" width="18.42578125" style="8" customWidth="1"/>
    <col min="8" max="8" width="17.42578125" style="9" customWidth="1"/>
    <col min="9" max="9" width="15.85546875" style="9" customWidth="1"/>
    <col min="10" max="10" width="17.7109375" style="9" customWidth="1"/>
    <col min="11" max="11" width="10.85546875" style="9" bestFit="1" customWidth="1"/>
    <col min="12" max="16384" width="8.7109375" style="1"/>
  </cols>
  <sheetData>
    <row r="1" spans="1:11" s="7" customFormat="1" x14ac:dyDescent="0.55000000000000004">
      <c r="A1" s="96" t="s">
        <v>1</v>
      </c>
      <c r="B1" s="11" t="s">
        <v>73</v>
      </c>
      <c r="C1" s="11" t="s">
        <v>70</v>
      </c>
      <c r="D1" s="1" t="s">
        <v>3</v>
      </c>
      <c r="E1" s="7" t="s">
        <v>4</v>
      </c>
      <c r="F1" s="19" t="s">
        <v>5</v>
      </c>
      <c r="G1" s="8" t="s">
        <v>6</v>
      </c>
      <c r="H1" s="8" t="s">
        <v>7</v>
      </c>
      <c r="I1" s="8" t="s">
        <v>8</v>
      </c>
      <c r="J1" s="129" t="s">
        <v>124</v>
      </c>
      <c r="K1" s="8"/>
    </row>
    <row r="2" spans="1:11" x14ac:dyDescent="0.55000000000000004">
      <c r="A2" s="97">
        <v>44409</v>
      </c>
      <c r="B2" s="16"/>
      <c r="C2" s="16" t="s">
        <v>5</v>
      </c>
      <c r="D2" s="1" t="s">
        <v>65</v>
      </c>
      <c r="E2" s="7" t="s">
        <v>5</v>
      </c>
      <c r="F2" s="19">
        <v>0</v>
      </c>
      <c r="G2" s="19"/>
      <c r="H2" s="17"/>
      <c r="I2" s="17">
        <f>SUPER[[#This Row],[Opening]]+SUPER[[#This Row],[Purchase]]-SUPER[[#This Row],[Payment]]</f>
        <v>0</v>
      </c>
      <c r="J2" s="129">
        <f>SUPER[Balance]</f>
        <v>0</v>
      </c>
    </row>
    <row r="3" spans="1:11" x14ac:dyDescent="0.55000000000000004">
      <c r="A3" s="100"/>
      <c r="B3" s="55"/>
      <c r="C3" s="55"/>
      <c r="D3" s="56"/>
      <c r="E3" s="57"/>
      <c r="G3" s="58"/>
      <c r="H3" s="59"/>
      <c r="I3" s="59"/>
    </row>
    <row r="4" spans="1:11" x14ac:dyDescent="0.55000000000000004">
      <c r="A4" s="97"/>
      <c r="B4" s="16"/>
      <c r="C4" s="16"/>
      <c r="E4" s="42"/>
      <c r="G4" s="19"/>
      <c r="H4" s="17"/>
      <c r="I4" s="17"/>
    </row>
    <row r="5" spans="1:11" x14ac:dyDescent="0.55000000000000004">
      <c r="A5" s="97"/>
      <c r="B5" s="16"/>
      <c r="C5" s="16"/>
      <c r="E5" s="42"/>
      <c r="G5" s="19"/>
      <c r="H5" s="17"/>
      <c r="I5" s="17"/>
    </row>
    <row r="6" spans="1:11" x14ac:dyDescent="0.55000000000000004">
      <c r="A6" s="97"/>
      <c r="B6" s="16"/>
      <c r="C6" s="16"/>
      <c r="E6" s="42"/>
      <c r="G6" s="19"/>
      <c r="H6" s="17"/>
      <c r="I6" s="17"/>
    </row>
    <row r="7" spans="1:11" x14ac:dyDescent="0.55000000000000004">
      <c r="A7" s="102"/>
      <c r="B7" s="16"/>
      <c r="C7" s="51"/>
      <c r="E7" s="52"/>
      <c r="G7" s="50"/>
      <c r="H7" s="53"/>
      <c r="I7" s="53"/>
    </row>
    <row r="8" spans="1:11" x14ac:dyDescent="0.55000000000000004">
      <c r="A8" s="102"/>
      <c r="B8" s="51"/>
      <c r="C8" s="51"/>
      <c r="E8" s="42"/>
      <c r="G8" s="50"/>
      <c r="H8" s="53"/>
      <c r="I8" s="53"/>
    </row>
    <row r="9" spans="1:11" x14ac:dyDescent="0.55000000000000004">
      <c r="A9" s="102"/>
      <c r="B9" s="51"/>
      <c r="C9" s="51"/>
      <c r="E9" s="52"/>
      <c r="G9" s="50"/>
      <c r="H9" s="53"/>
      <c r="I9" s="53"/>
    </row>
    <row r="10" spans="1:11" x14ac:dyDescent="0.55000000000000004">
      <c r="A10" s="102"/>
      <c r="B10" s="51"/>
      <c r="C10" s="51"/>
      <c r="D10" s="49"/>
      <c r="E10" s="52"/>
      <c r="G10" s="50"/>
      <c r="H10" s="53"/>
      <c r="I10" s="53"/>
    </row>
    <row r="11" spans="1:11" x14ac:dyDescent="0.55000000000000004">
      <c r="A11" s="97"/>
      <c r="B11" s="16"/>
      <c r="C11" s="16"/>
      <c r="E11" s="14"/>
      <c r="G11" s="19"/>
      <c r="H11" s="17"/>
      <c r="I11" s="17"/>
    </row>
    <row r="12" spans="1:11" x14ac:dyDescent="0.55000000000000004">
      <c r="A12" s="97"/>
      <c r="B12" s="16"/>
      <c r="C12" s="16"/>
      <c r="E12" s="14"/>
      <c r="G12" s="19"/>
      <c r="H12" s="17"/>
      <c r="I12" s="17"/>
    </row>
    <row r="13" spans="1:11" x14ac:dyDescent="0.55000000000000004">
      <c r="A13" s="97"/>
      <c r="B13" s="16"/>
      <c r="C13" s="16"/>
      <c r="E13" s="14"/>
      <c r="G13" s="19"/>
      <c r="H13" s="17"/>
      <c r="I13" s="17"/>
    </row>
    <row r="14" spans="1:11" x14ac:dyDescent="0.55000000000000004">
      <c r="A14" s="97"/>
      <c r="B14" s="16"/>
      <c r="C14" s="16"/>
      <c r="E14" s="14"/>
      <c r="G14" s="19"/>
      <c r="H14" s="17"/>
      <c r="I14" s="17"/>
    </row>
    <row r="15" spans="1:11" x14ac:dyDescent="0.55000000000000004">
      <c r="C15" s="11"/>
    </row>
    <row r="16" spans="1:11" x14ac:dyDescent="0.55000000000000004">
      <c r="C16" s="11"/>
    </row>
  </sheetData>
  <pageMargins left="0.7" right="0.7" top="0.75" bottom="0.75" header="0.3" footer="0.3"/>
  <pageSetup paperSize="9" orientation="portrait" verticalDpi="0"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'Supplier (COA)'!$H$3:$H$5</xm:f>
          </x14:formula1>
          <xm:sqref>C2:C42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K11"/>
  <sheetViews>
    <sheetView zoomScaleNormal="100" workbookViewId="0">
      <selection activeCell="J1" sqref="J1"/>
    </sheetView>
  </sheetViews>
  <sheetFormatPr defaultColWidth="8.7109375" defaultRowHeight="21.75" x14ac:dyDescent="0.55000000000000004"/>
  <cols>
    <col min="1" max="1" width="14.7109375" style="96" customWidth="1"/>
    <col min="2" max="3" width="12.28515625" style="1" customWidth="1"/>
    <col min="4" max="4" width="24.42578125" style="1" bestFit="1" customWidth="1"/>
    <col min="5" max="5" width="15.85546875" style="7" customWidth="1"/>
    <col min="6" max="6" width="17.5703125" style="8" bestFit="1" customWidth="1"/>
    <col min="7" max="7" width="18.42578125" style="8" customWidth="1"/>
    <col min="8" max="8" width="16.42578125" style="9" customWidth="1"/>
    <col min="9" max="9" width="14.7109375" style="9" bestFit="1" customWidth="1"/>
    <col min="10" max="10" width="19.5703125" style="9" customWidth="1"/>
    <col min="11" max="11" width="10.85546875" style="9" bestFit="1" customWidth="1"/>
    <col min="12" max="16384" width="8.7109375" style="1"/>
  </cols>
  <sheetData>
    <row r="1" spans="1:11" s="7" customFormat="1" x14ac:dyDescent="0.55000000000000004">
      <c r="A1" s="96" t="s">
        <v>1</v>
      </c>
      <c r="B1" s="7" t="s">
        <v>73</v>
      </c>
      <c r="C1" s="11" t="s">
        <v>70</v>
      </c>
      <c r="D1" s="1" t="s">
        <v>3</v>
      </c>
      <c r="E1" s="7" t="s">
        <v>4</v>
      </c>
      <c r="F1" s="8" t="s">
        <v>5</v>
      </c>
      <c r="G1" s="8" t="s">
        <v>6</v>
      </c>
      <c r="H1" s="8" t="s">
        <v>7</v>
      </c>
      <c r="I1" s="8" t="s">
        <v>8</v>
      </c>
      <c r="J1" s="129" t="s">
        <v>124</v>
      </c>
      <c r="K1" s="8"/>
    </row>
    <row r="2" spans="1:11" x14ac:dyDescent="0.55000000000000004">
      <c r="A2" s="97">
        <v>44409</v>
      </c>
      <c r="B2" s="15"/>
      <c r="C2" s="16" t="s">
        <v>5</v>
      </c>
      <c r="D2" s="1" t="s">
        <v>81</v>
      </c>
      <c r="E2" s="7" t="s">
        <v>5</v>
      </c>
      <c r="F2" s="19">
        <v>0</v>
      </c>
      <c r="G2" s="19"/>
      <c r="H2" s="17"/>
      <c r="I2" s="17">
        <f>TSLW[[#This Row],[Opening]]+TSLW[[#This Row],[Purchase]]-TSLW[[#This Row],[Payment]]</f>
        <v>0</v>
      </c>
      <c r="J2" s="129">
        <f>TSLW[Balance]</f>
        <v>0</v>
      </c>
    </row>
    <row r="3" spans="1:11" x14ac:dyDescent="0.55000000000000004">
      <c r="A3" s="97"/>
      <c r="B3" s="15"/>
      <c r="C3" s="16"/>
      <c r="E3" s="42"/>
      <c r="F3" s="19"/>
      <c r="G3" s="19"/>
      <c r="H3" s="17"/>
      <c r="I3" s="17"/>
    </row>
    <row r="4" spans="1:11" x14ac:dyDescent="0.55000000000000004">
      <c r="A4" s="97"/>
      <c r="B4" s="15"/>
      <c r="C4" s="16"/>
      <c r="E4" s="14"/>
      <c r="F4" s="19"/>
      <c r="G4" s="19"/>
      <c r="H4" s="17"/>
      <c r="I4" s="17"/>
    </row>
    <row r="5" spans="1:11" x14ac:dyDescent="0.55000000000000004">
      <c r="A5" s="97"/>
      <c r="B5" s="15"/>
      <c r="C5" s="16"/>
      <c r="E5" s="14"/>
      <c r="F5" s="19"/>
      <c r="G5" s="19"/>
      <c r="H5" s="17"/>
      <c r="I5" s="17"/>
    </row>
    <row r="6" spans="1:11" x14ac:dyDescent="0.55000000000000004">
      <c r="A6" s="97"/>
      <c r="B6" s="15"/>
      <c r="C6" s="16"/>
      <c r="E6" s="14"/>
      <c r="F6" s="19"/>
      <c r="G6" s="19"/>
      <c r="H6" s="17"/>
      <c r="I6" s="17"/>
    </row>
    <row r="7" spans="1:11" x14ac:dyDescent="0.55000000000000004">
      <c r="A7" s="97"/>
      <c r="B7" s="15"/>
      <c r="C7" s="16"/>
      <c r="E7" s="14"/>
      <c r="F7" s="19"/>
      <c r="G7" s="19"/>
      <c r="H7" s="17"/>
      <c r="I7" s="17"/>
    </row>
    <row r="8" spans="1:11" x14ac:dyDescent="0.55000000000000004">
      <c r="A8" s="97"/>
      <c r="B8" s="15"/>
      <c r="C8" s="16"/>
      <c r="E8" s="14"/>
      <c r="F8" s="19"/>
      <c r="G8" s="19"/>
      <c r="H8" s="17"/>
      <c r="I8" s="17"/>
    </row>
    <row r="9" spans="1:11" x14ac:dyDescent="0.55000000000000004">
      <c r="A9" s="97"/>
      <c r="B9" s="15"/>
      <c r="C9" s="16"/>
      <c r="E9" s="14"/>
      <c r="F9" s="19"/>
      <c r="G9" s="19"/>
      <c r="H9" s="17"/>
      <c r="I9" s="17"/>
    </row>
    <row r="10" spans="1:11" x14ac:dyDescent="0.55000000000000004">
      <c r="C10" s="11"/>
    </row>
    <row r="11" spans="1:11" x14ac:dyDescent="0.55000000000000004">
      <c r="C11" s="11"/>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'Supplier (COA)'!$H$3:$H$5</xm:f>
          </x14:formula1>
          <xm:sqref>C2:C42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K11"/>
  <sheetViews>
    <sheetView workbookViewId="0">
      <selection activeCell="J1" sqref="J1"/>
    </sheetView>
  </sheetViews>
  <sheetFormatPr defaultColWidth="8.7109375" defaultRowHeight="21.75" x14ac:dyDescent="0.55000000000000004"/>
  <cols>
    <col min="1" max="1" width="14.7109375" style="13" customWidth="1"/>
    <col min="2" max="3" width="12.28515625" style="1" customWidth="1"/>
    <col min="4" max="4" width="24.42578125" style="1" bestFit="1" customWidth="1"/>
    <col min="5" max="5" width="14.42578125" style="7" customWidth="1"/>
    <col min="6" max="6" width="17.5703125" style="8" bestFit="1" customWidth="1"/>
    <col min="7" max="7" width="18.42578125" style="8" customWidth="1"/>
    <col min="8" max="8" width="12.5703125" style="9" customWidth="1"/>
    <col min="9" max="9" width="14.7109375" style="9" bestFit="1" customWidth="1"/>
    <col min="10" max="10" width="18.28515625" style="9" customWidth="1"/>
    <col min="11" max="11" width="10.85546875" style="9" bestFit="1" customWidth="1"/>
    <col min="12" max="16384" width="8.7109375" style="1"/>
  </cols>
  <sheetData>
    <row r="1" spans="1:11" s="7" customFormat="1" x14ac:dyDescent="0.55000000000000004">
      <c r="A1" s="13" t="s">
        <v>1</v>
      </c>
      <c r="B1" s="7" t="s">
        <v>73</v>
      </c>
      <c r="C1" s="11" t="s">
        <v>70</v>
      </c>
      <c r="D1" s="1" t="s">
        <v>3</v>
      </c>
      <c r="E1" s="7" t="s">
        <v>4</v>
      </c>
      <c r="F1" s="8" t="s">
        <v>5</v>
      </c>
      <c r="G1" s="8" t="s">
        <v>6</v>
      </c>
      <c r="H1" s="8" t="s">
        <v>7</v>
      </c>
      <c r="I1" s="8" t="s">
        <v>8</v>
      </c>
      <c r="J1" s="129" t="s">
        <v>124</v>
      </c>
      <c r="K1" s="8"/>
    </row>
    <row r="2" spans="1:11" x14ac:dyDescent="0.55000000000000004">
      <c r="A2" s="18">
        <v>44378</v>
      </c>
      <c r="B2" s="15"/>
      <c r="C2" s="16" t="s">
        <v>5</v>
      </c>
      <c r="D2" s="1" t="s">
        <v>82</v>
      </c>
      <c r="E2" s="7" t="s">
        <v>5</v>
      </c>
      <c r="F2" s="19">
        <v>143000</v>
      </c>
      <c r="G2" s="19"/>
      <c r="H2" s="17"/>
      <c r="I2" s="17">
        <f>UMG[[#This Row],[Opening]]+UMG[[#This Row],[Purchase]]-UMG[[#This Row],[Payment]]</f>
        <v>143000</v>
      </c>
      <c r="J2" s="129">
        <f>UMG[Balance]</f>
        <v>143000</v>
      </c>
    </row>
    <row r="3" spans="1:11" x14ac:dyDescent="0.55000000000000004">
      <c r="A3" s="18"/>
      <c r="B3" s="15"/>
      <c r="C3" s="16"/>
      <c r="E3" s="14"/>
      <c r="F3" s="19"/>
      <c r="G3" s="19"/>
      <c r="H3" s="17"/>
      <c r="I3" s="17"/>
    </row>
    <row r="4" spans="1:11" x14ac:dyDescent="0.55000000000000004">
      <c r="A4" s="18"/>
      <c r="B4" s="15"/>
      <c r="C4" s="16"/>
      <c r="E4" s="14"/>
      <c r="F4" s="19"/>
      <c r="G4" s="19"/>
      <c r="H4" s="17"/>
      <c r="I4" s="17"/>
    </row>
    <row r="5" spans="1:11" x14ac:dyDescent="0.55000000000000004">
      <c r="A5" s="18"/>
      <c r="B5" s="15"/>
      <c r="C5" s="16"/>
      <c r="E5" s="14"/>
      <c r="F5" s="19"/>
      <c r="G5" s="19"/>
      <c r="H5" s="17"/>
      <c r="I5" s="17"/>
    </row>
    <row r="6" spans="1:11" x14ac:dyDescent="0.55000000000000004">
      <c r="A6" s="18"/>
      <c r="B6" s="15"/>
      <c r="C6" s="16"/>
      <c r="E6" s="14"/>
      <c r="F6" s="19"/>
      <c r="G6" s="19"/>
      <c r="H6" s="17"/>
      <c r="I6" s="17"/>
    </row>
    <row r="7" spans="1:11" x14ac:dyDescent="0.55000000000000004">
      <c r="A7" s="18"/>
      <c r="B7" s="15"/>
      <c r="C7" s="16"/>
      <c r="E7" s="14"/>
      <c r="F7" s="19"/>
      <c r="G7" s="19"/>
      <c r="H7" s="17"/>
      <c r="I7" s="17"/>
    </row>
    <row r="8" spans="1:11" x14ac:dyDescent="0.55000000000000004">
      <c r="A8" s="18"/>
      <c r="B8" s="15"/>
      <c r="C8" s="16"/>
      <c r="E8" s="14"/>
      <c r="F8" s="19"/>
      <c r="G8" s="19"/>
      <c r="H8" s="17"/>
      <c r="I8" s="17"/>
    </row>
    <row r="9" spans="1:11" x14ac:dyDescent="0.55000000000000004">
      <c r="A9" s="18"/>
      <c r="B9" s="15"/>
      <c r="C9" s="16"/>
      <c r="E9" s="14"/>
      <c r="F9" s="19"/>
      <c r="G9" s="19"/>
      <c r="H9" s="17"/>
      <c r="I9" s="17"/>
    </row>
    <row r="10" spans="1:11" x14ac:dyDescent="0.55000000000000004">
      <c r="C10" s="11"/>
    </row>
    <row r="11" spans="1:11" x14ac:dyDescent="0.55000000000000004">
      <c r="C11" s="11"/>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'Supplier (COA)'!$H$3:$H$5</xm:f>
          </x14:formula1>
          <xm:sqref>C2:C42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K56"/>
  <sheetViews>
    <sheetView topLeftCell="C1" zoomScale="90" zoomScaleNormal="90" workbookViewId="0">
      <selection activeCell="J9" sqref="J9"/>
    </sheetView>
  </sheetViews>
  <sheetFormatPr defaultColWidth="8.7109375" defaultRowHeight="21.75" x14ac:dyDescent="0.55000000000000004"/>
  <cols>
    <col min="1" max="1" width="14.7109375" style="96" customWidth="1"/>
    <col min="2" max="2" width="14.28515625" style="11" customWidth="1"/>
    <col min="3" max="3" width="14.28515625" style="1" customWidth="1"/>
    <col min="4" max="4" width="24.42578125" style="1" bestFit="1" customWidth="1"/>
    <col min="5" max="5" width="60.28515625" style="7" customWidth="1"/>
    <col min="6" max="6" width="14.5703125" style="8" customWidth="1"/>
    <col min="7" max="7" width="18.42578125" style="8" customWidth="1"/>
    <col min="8" max="8" width="15.85546875" style="9" customWidth="1"/>
    <col min="9" max="9" width="16.5703125" style="9" customWidth="1"/>
    <col min="10" max="10" width="15.7109375" style="9" customWidth="1"/>
    <col min="11" max="11" width="10.85546875" style="9" bestFit="1" customWidth="1"/>
    <col min="12" max="16384" width="8.7109375" style="1"/>
  </cols>
  <sheetData>
    <row r="1" spans="1:11" s="7" customFormat="1" x14ac:dyDescent="0.55000000000000004">
      <c r="A1" s="96" t="s">
        <v>1</v>
      </c>
      <c r="B1" s="11" t="s">
        <v>73</v>
      </c>
      <c r="C1" s="11" t="s">
        <v>70</v>
      </c>
      <c r="D1" s="1" t="s">
        <v>3</v>
      </c>
      <c r="E1" s="7" t="s">
        <v>4</v>
      </c>
      <c r="F1" s="8" t="s">
        <v>5</v>
      </c>
      <c r="G1" s="8" t="s">
        <v>6</v>
      </c>
      <c r="H1" s="8" t="s">
        <v>7</v>
      </c>
      <c r="I1" s="8" t="s">
        <v>8</v>
      </c>
      <c r="J1" s="129" t="s">
        <v>124</v>
      </c>
      <c r="K1" s="8"/>
    </row>
    <row r="2" spans="1:11" x14ac:dyDescent="0.55000000000000004">
      <c r="A2" s="97">
        <v>44409</v>
      </c>
      <c r="B2" s="16"/>
      <c r="C2" s="16" t="s">
        <v>5</v>
      </c>
      <c r="D2" s="1" t="s">
        <v>56</v>
      </c>
      <c r="E2" s="7" t="s">
        <v>5</v>
      </c>
      <c r="F2" s="19">
        <v>689502</v>
      </c>
      <c r="G2" s="19"/>
      <c r="H2" s="17"/>
      <c r="I2" s="17">
        <f>ZAN[[#This Row],[Opening]]+ZAN[[#This Row],[Purchase]]-ZAN[[#This Row],[Payment]]</f>
        <v>689502</v>
      </c>
      <c r="J2" s="129">
        <f>ZAN[[#This Row],[Balance]]</f>
        <v>689502</v>
      </c>
    </row>
    <row r="3" spans="1:11" x14ac:dyDescent="0.55000000000000004">
      <c r="A3" s="97">
        <v>44428</v>
      </c>
      <c r="B3" s="16">
        <v>155213</v>
      </c>
      <c r="C3" s="16" t="s">
        <v>6</v>
      </c>
      <c r="D3" s="1" t="s">
        <v>56</v>
      </c>
      <c r="E3" s="42" t="s">
        <v>105</v>
      </c>
      <c r="F3" s="19"/>
      <c r="G3" s="19">
        <v>343594</v>
      </c>
      <c r="H3" s="17"/>
      <c r="I3" s="17">
        <f>ZAN[[#This Row],[Opening]]+ZAN[[#This Row],[Purchase]]-ZAN[[#This Row],[Payment]]</f>
        <v>343594</v>
      </c>
      <c r="J3" s="129">
        <f>J2+ZAN[[#This Row],[Purchase]]-ZAN[[#This Row],[Payment]]</f>
        <v>1033096</v>
      </c>
    </row>
    <row r="4" spans="1:11" x14ac:dyDescent="0.55000000000000004">
      <c r="A4" s="112">
        <v>44433</v>
      </c>
      <c r="B4" s="113">
        <v>265211</v>
      </c>
      <c r="C4" s="113" t="s">
        <v>7</v>
      </c>
      <c r="D4" s="1" t="s">
        <v>56</v>
      </c>
      <c r="E4" s="42" t="s">
        <v>106</v>
      </c>
      <c r="F4" s="116"/>
      <c r="G4" s="116"/>
      <c r="H4" s="117">
        <v>1000000</v>
      </c>
      <c r="I4" s="117">
        <f>ZAN[[#This Row],[Opening]]+ZAN[[#This Row],[Purchase]]-ZAN[[#This Row],[Payment]]</f>
        <v>-1000000</v>
      </c>
      <c r="J4" s="129">
        <f>J3+ZAN[[#This Row],[Purchase]]-ZAN[[#This Row],[Payment]]</f>
        <v>33096</v>
      </c>
    </row>
    <row r="5" spans="1:11" x14ac:dyDescent="0.55000000000000004">
      <c r="A5" s="101">
        <v>44433</v>
      </c>
      <c r="B5" s="45">
        <v>659211</v>
      </c>
      <c r="C5" s="45" t="s">
        <v>6</v>
      </c>
      <c r="D5" s="1" t="s">
        <v>56</v>
      </c>
      <c r="E5" s="42" t="s">
        <v>109</v>
      </c>
      <c r="F5" s="47"/>
      <c r="G5" s="47">
        <v>181196</v>
      </c>
      <c r="H5" s="48"/>
      <c r="I5" s="48">
        <f>ZAN[[#This Row],[Opening]]+ZAN[[#This Row],[Purchase]]-ZAN[[#This Row],[Payment]]</f>
        <v>181196</v>
      </c>
      <c r="J5" s="129">
        <f>J4+ZAN[[#This Row],[Purchase]]-ZAN[[#This Row],[Payment]]</f>
        <v>214292</v>
      </c>
    </row>
    <row r="6" spans="1:11" x14ac:dyDescent="0.55000000000000004">
      <c r="A6" s="101">
        <v>44432</v>
      </c>
      <c r="B6" s="45">
        <v>652211</v>
      </c>
      <c r="C6" s="45" t="s">
        <v>6</v>
      </c>
      <c r="D6" s="1" t="s">
        <v>56</v>
      </c>
      <c r="E6" s="42" t="s">
        <v>110</v>
      </c>
      <c r="F6" s="47"/>
      <c r="G6" s="47">
        <v>315750</v>
      </c>
      <c r="H6" s="48"/>
      <c r="I6" s="48">
        <f>ZAN[[#This Row],[Opening]]+ZAN[[#This Row],[Purchase]]-ZAN[[#This Row],[Payment]]</f>
        <v>315750</v>
      </c>
      <c r="J6" s="129">
        <f>J5+ZAN[[#This Row],[Purchase]]-ZAN[[#This Row],[Payment]]</f>
        <v>530042</v>
      </c>
    </row>
    <row r="7" spans="1:11" x14ac:dyDescent="0.55000000000000004">
      <c r="A7" s="101">
        <v>44434</v>
      </c>
      <c r="B7" s="45"/>
      <c r="C7" s="45" t="s">
        <v>6</v>
      </c>
      <c r="D7" s="1" t="s">
        <v>56</v>
      </c>
      <c r="E7" s="42" t="s">
        <v>115</v>
      </c>
      <c r="F7" s="47"/>
      <c r="G7" s="47">
        <v>14958</v>
      </c>
      <c r="H7" s="48"/>
      <c r="I7" s="48">
        <f>ZAN[[#This Row],[Opening]]+ZAN[[#This Row],[Purchase]]-ZAN[[#This Row],[Payment]]</f>
        <v>14958</v>
      </c>
      <c r="J7" s="129">
        <f>J6+ZAN[[#This Row],[Purchase]]-ZAN[[#This Row],[Payment]]</f>
        <v>545000</v>
      </c>
    </row>
    <row r="8" spans="1:11" x14ac:dyDescent="0.55000000000000004">
      <c r="A8" s="101">
        <v>44436</v>
      </c>
      <c r="B8" s="45">
        <v>162213</v>
      </c>
      <c r="C8" s="45" t="s">
        <v>6</v>
      </c>
      <c r="D8" s="1" t="s">
        <v>56</v>
      </c>
      <c r="E8" s="42" t="s">
        <v>116</v>
      </c>
      <c r="F8" s="47"/>
      <c r="G8" s="47">
        <v>96363</v>
      </c>
      <c r="H8" s="48"/>
      <c r="I8" s="48">
        <f>ZAN[[#This Row],[Opening]]+ZAN[[#This Row],[Purchase]]-ZAN[[#This Row],[Payment]]</f>
        <v>96363</v>
      </c>
      <c r="J8" s="129">
        <f>J7+ZAN[[#This Row],[Purchase]]-ZAN[[#This Row],[Payment]]</f>
        <v>641363</v>
      </c>
    </row>
    <row r="9" spans="1:11" x14ac:dyDescent="0.55000000000000004">
      <c r="A9" s="98"/>
      <c r="B9" s="90"/>
      <c r="C9" s="90"/>
      <c r="E9" s="92"/>
      <c r="F9" s="93"/>
      <c r="G9" s="93"/>
      <c r="H9" s="94"/>
      <c r="I9" s="94"/>
    </row>
    <row r="10" spans="1:11" x14ac:dyDescent="0.55000000000000004">
      <c r="A10" s="98"/>
      <c r="B10" s="90"/>
      <c r="C10" s="90"/>
      <c r="D10" s="91"/>
      <c r="E10" s="92"/>
      <c r="F10" s="93"/>
      <c r="G10" s="93"/>
      <c r="H10" s="94"/>
      <c r="I10" s="94"/>
    </row>
    <row r="11" spans="1:11" x14ac:dyDescent="0.55000000000000004">
      <c r="A11" s="99"/>
      <c r="B11" s="82"/>
      <c r="C11" s="82"/>
      <c r="E11" s="83"/>
      <c r="F11" s="84"/>
      <c r="G11" s="84"/>
      <c r="H11" s="85"/>
      <c r="I11" s="85"/>
    </row>
    <row r="12" spans="1:11" x14ac:dyDescent="0.55000000000000004">
      <c r="A12" s="99"/>
      <c r="B12" s="82"/>
      <c r="C12" s="82"/>
      <c r="E12" s="83"/>
      <c r="F12" s="84"/>
      <c r="G12" s="84"/>
      <c r="H12" s="85"/>
      <c r="I12" s="85"/>
    </row>
    <row r="13" spans="1:11" x14ac:dyDescent="0.55000000000000004">
      <c r="A13" s="99"/>
      <c r="B13" s="82"/>
      <c r="C13" s="82"/>
      <c r="E13" s="83"/>
      <c r="F13" s="84"/>
      <c r="G13" s="84"/>
      <c r="H13" s="85"/>
      <c r="I13" s="85"/>
    </row>
    <row r="14" spans="1:11" x14ac:dyDescent="0.55000000000000004">
      <c r="A14" s="99"/>
      <c r="B14" s="82"/>
      <c r="C14" s="82"/>
      <c r="E14" s="83"/>
      <c r="F14" s="84"/>
      <c r="G14" s="84"/>
      <c r="H14" s="85"/>
      <c r="I14" s="85"/>
    </row>
    <row r="15" spans="1:11" x14ac:dyDescent="0.55000000000000004">
      <c r="A15" s="99"/>
      <c r="B15" s="82"/>
      <c r="C15" s="82"/>
      <c r="E15" s="83"/>
      <c r="F15" s="84"/>
      <c r="G15" s="84"/>
      <c r="H15" s="85"/>
      <c r="I15" s="85"/>
    </row>
    <row r="16" spans="1:11" x14ac:dyDescent="0.55000000000000004">
      <c r="A16" s="99"/>
      <c r="B16" s="82"/>
      <c r="C16" s="82"/>
      <c r="E16" s="83"/>
      <c r="F16" s="84"/>
      <c r="G16" s="84"/>
      <c r="H16" s="85"/>
      <c r="I16" s="85"/>
    </row>
    <row r="17" spans="1:9" x14ac:dyDescent="0.55000000000000004">
      <c r="A17" s="99"/>
      <c r="B17" s="82"/>
      <c r="C17" s="82"/>
      <c r="E17" s="83"/>
      <c r="F17" s="84"/>
      <c r="G17" s="84"/>
      <c r="H17" s="85"/>
      <c r="I17" s="85"/>
    </row>
    <row r="18" spans="1:9" x14ac:dyDescent="0.55000000000000004">
      <c r="A18" s="99"/>
      <c r="B18" s="82"/>
      <c r="C18" s="82"/>
      <c r="E18" s="83"/>
      <c r="F18" s="84"/>
      <c r="G18" s="84"/>
      <c r="H18" s="85"/>
      <c r="I18" s="85"/>
    </row>
    <row r="19" spans="1:9" x14ac:dyDescent="0.55000000000000004">
      <c r="A19" s="99"/>
      <c r="B19" s="82"/>
      <c r="C19" s="82"/>
      <c r="E19" s="83"/>
      <c r="F19" s="84"/>
      <c r="G19" s="84"/>
      <c r="H19" s="85"/>
      <c r="I19" s="85"/>
    </row>
    <row r="20" spans="1:9" x14ac:dyDescent="0.55000000000000004">
      <c r="A20" s="99"/>
      <c r="B20" s="82"/>
      <c r="C20" s="82"/>
      <c r="D20" s="86"/>
      <c r="E20" s="83"/>
      <c r="F20" s="84"/>
      <c r="G20" s="84"/>
      <c r="H20" s="85"/>
      <c r="I20" s="85"/>
    </row>
    <row r="21" spans="1:9" x14ac:dyDescent="0.55000000000000004">
      <c r="A21" s="99"/>
      <c r="B21" s="82"/>
      <c r="C21" s="82"/>
      <c r="D21" s="86"/>
      <c r="E21" s="83"/>
      <c r="F21" s="84"/>
      <c r="G21" s="84"/>
      <c r="H21" s="85"/>
      <c r="I21" s="85"/>
    </row>
    <row r="22" spans="1:9" x14ac:dyDescent="0.55000000000000004">
      <c r="A22" s="100"/>
      <c r="B22" s="55"/>
      <c r="C22" s="55"/>
      <c r="E22" s="57"/>
      <c r="F22" s="58"/>
      <c r="G22" s="58"/>
      <c r="H22" s="59"/>
      <c r="I22" s="17"/>
    </row>
    <row r="23" spans="1:9" x14ac:dyDescent="0.55000000000000004">
      <c r="A23" s="100"/>
      <c r="B23" s="55"/>
      <c r="C23" s="55"/>
      <c r="E23" s="57"/>
      <c r="F23" s="58"/>
      <c r="G23" s="58"/>
      <c r="H23" s="59"/>
      <c r="I23" s="17"/>
    </row>
    <row r="24" spans="1:9" x14ac:dyDescent="0.55000000000000004">
      <c r="A24" s="100"/>
      <c r="B24" s="55"/>
      <c r="C24" s="55"/>
      <c r="E24" s="57"/>
      <c r="F24" s="58"/>
      <c r="G24" s="58"/>
      <c r="H24" s="59"/>
      <c r="I24" s="17"/>
    </row>
    <row r="25" spans="1:9" x14ac:dyDescent="0.55000000000000004">
      <c r="A25" s="100"/>
      <c r="B25" s="55"/>
      <c r="C25" s="55"/>
      <c r="E25" s="57"/>
      <c r="F25" s="58"/>
      <c r="G25" s="58"/>
      <c r="H25" s="59"/>
      <c r="I25" s="17"/>
    </row>
    <row r="26" spans="1:9" x14ac:dyDescent="0.55000000000000004">
      <c r="A26" s="100"/>
      <c r="B26" s="55"/>
      <c r="C26" s="55"/>
      <c r="E26" s="57"/>
      <c r="F26" s="58"/>
      <c r="G26" s="58"/>
      <c r="H26" s="59"/>
      <c r="I26" s="17"/>
    </row>
    <row r="27" spans="1:9" x14ac:dyDescent="0.55000000000000004">
      <c r="A27" s="100"/>
      <c r="B27" s="55"/>
      <c r="C27" s="55"/>
      <c r="E27" s="42"/>
      <c r="F27" s="58"/>
      <c r="G27" s="58"/>
      <c r="H27" s="59"/>
      <c r="I27" s="17"/>
    </row>
    <row r="28" spans="1:9" x14ac:dyDescent="0.55000000000000004">
      <c r="A28" s="100"/>
      <c r="B28" s="55"/>
      <c r="C28" s="55"/>
      <c r="E28" s="57"/>
      <c r="F28" s="58"/>
      <c r="G28" s="58"/>
      <c r="H28" s="59"/>
      <c r="I28" s="17"/>
    </row>
    <row r="29" spans="1:9" x14ac:dyDescent="0.55000000000000004">
      <c r="A29" s="100"/>
      <c r="B29" s="55"/>
      <c r="C29" s="55"/>
      <c r="E29" s="57"/>
      <c r="F29" s="58"/>
      <c r="G29" s="58"/>
      <c r="H29" s="59"/>
      <c r="I29" s="59"/>
    </row>
    <row r="30" spans="1:9" x14ac:dyDescent="0.55000000000000004">
      <c r="A30" s="100"/>
      <c r="B30" s="55"/>
      <c r="C30" s="55"/>
      <c r="E30" s="57"/>
      <c r="F30" s="58"/>
      <c r="G30" s="58"/>
      <c r="H30" s="59"/>
      <c r="I30" s="59"/>
    </row>
    <row r="31" spans="1:9" x14ac:dyDescent="0.55000000000000004">
      <c r="A31" s="100"/>
      <c r="B31" s="55"/>
      <c r="C31" s="55"/>
      <c r="E31" s="57"/>
      <c r="F31" s="58"/>
      <c r="G31" s="58"/>
      <c r="H31" s="59"/>
      <c r="I31" s="59"/>
    </row>
    <row r="32" spans="1:9" x14ac:dyDescent="0.55000000000000004">
      <c r="A32" s="100"/>
      <c r="B32" s="55"/>
      <c r="C32" s="55"/>
      <c r="E32" s="57"/>
      <c r="F32" s="58"/>
      <c r="G32" s="58"/>
      <c r="H32" s="59"/>
      <c r="I32" s="59"/>
    </row>
    <row r="33" spans="1:9" x14ac:dyDescent="0.55000000000000004">
      <c r="A33" s="100"/>
      <c r="B33" s="55"/>
      <c r="C33" s="55"/>
      <c r="E33" s="42"/>
      <c r="F33" s="58"/>
      <c r="G33" s="58"/>
      <c r="H33" s="59"/>
      <c r="I33" s="59"/>
    </row>
    <row r="34" spans="1:9" x14ac:dyDescent="0.55000000000000004">
      <c r="A34" s="101"/>
      <c r="B34" s="45"/>
      <c r="C34" s="45"/>
      <c r="E34" s="42"/>
      <c r="F34" s="47"/>
      <c r="G34" s="47"/>
      <c r="H34" s="48"/>
      <c r="I34" s="48"/>
    </row>
    <row r="35" spans="1:9" x14ac:dyDescent="0.55000000000000004">
      <c r="A35" s="100"/>
      <c r="B35" s="55"/>
      <c r="C35" s="55"/>
      <c r="E35" s="57"/>
      <c r="F35" s="58"/>
      <c r="G35" s="58"/>
      <c r="H35" s="59"/>
      <c r="I35" s="59"/>
    </row>
    <row r="36" spans="1:9" x14ac:dyDescent="0.55000000000000004">
      <c r="A36" s="100"/>
      <c r="B36" s="55"/>
      <c r="C36" s="55"/>
      <c r="D36" s="56"/>
      <c r="E36" s="57"/>
      <c r="F36" s="58"/>
      <c r="G36" s="58"/>
      <c r="H36" s="59"/>
      <c r="I36" s="59"/>
    </row>
    <row r="37" spans="1:9" x14ac:dyDescent="0.55000000000000004">
      <c r="A37" s="97"/>
      <c r="B37" s="16"/>
      <c r="C37" s="16"/>
      <c r="E37" s="42"/>
      <c r="F37" s="19"/>
      <c r="G37" s="19"/>
      <c r="H37" s="17"/>
      <c r="I37" s="17"/>
    </row>
    <row r="38" spans="1:9" x14ac:dyDescent="0.55000000000000004">
      <c r="A38" s="97"/>
      <c r="B38" s="16"/>
      <c r="C38" s="16"/>
      <c r="E38" s="42"/>
      <c r="F38" s="19"/>
      <c r="G38" s="19"/>
      <c r="H38" s="17"/>
      <c r="I38" s="17"/>
    </row>
    <row r="39" spans="1:9" x14ac:dyDescent="0.55000000000000004">
      <c r="A39" s="101"/>
      <c r="B39" s="45"/>
      <c r="C39" s="45"/>
      <c r="E39" s="42"/>
      <c r="F39" s="47"/>
      <c r="G39" s="47"/>
      <c r="H39" s="48"/>
      <c r="I39" s="48"/>
    </row>
    <row r="40" spans="1:9" x14ac:dyDescent="0.55000000000000004">
      <c r="A40" s="101"/>
      <c r="B40" s="45"/>
      <c r="C40" s="45"/>
      <c r="E40" s="42"/>
      <c r="F40" s="47"/>
      <c r="G40" s="47"/>
      <c r="H40" s="48"/>
      <c r="I40" s="48"/>
    </row>
    <row r="41" spans="1:9" x14ac:dyDescent="0.55000000000000004">
      <c r="A41" s="101"/>
      <c r="B41" s="45"/>
      <c r="C41" s="45"/>
      <c r="E41" s="42"/>
      <c r="F41" s="47"/>
      <c r="G41" s="47"/>
      <c r="H41" s="48"/>
      <c r="I41" s="48"/>
    </row>
    <row r="42" spans="1:9" x14ac:dyDescent="0.55000000000000004">
      <c r="A42" s="101"/>
      <c r="B42" s="45"/>
      <c r="C42" s="45"/>
      <c r="E42" s="42"/>
      <c r="F42" s="47"/>
      <c r="G42" s="47"/>
      <c r="H42" s="48"/>
      <c r="I42" s="48"/>
    </row>
    <row r="43" spans="1:9" x14ac:dyDescent="0.55000000000000004">
      <c r="A43" s="101"/>
      <c r="B43" s="45"/>
      <c r="C43" s="45"/>
      <c r="E43" s="42"/>
      <c r="F43" s="47"/>
      <c r="G43" s="47"/>
      <c r="H43" s="48"/>
      <c r="I43" s="48"/>
    </row>
    <row r="44" spans="1:9" x14ac:dyDescent="0.55000000000000004">
      <c r="A44" s="102"/>
      <c r="B44" s="51"/>
      <c r="C44" s="45"/>
      <c r="E44" s="52"/>
      <c r="F44" s="50"/>
      <c r="G44" s="50"/>
      <c r="H44" s="53"/>
      <c r="I44" s="53"/>
    </row>
    <row r="45" spans="1:9" x14ac:dyDescent="0.55000000000000004">
      <c r="A45" s="102"/>
      <c r="B45" s="51"/>
      <c r="C45" s="51"/>
      <c r="E45" s="52"/>
      <c r="F45" s="50"/>
      <c r="G45" s="50"/>
      <c r="H45" s="53"/>
      <c r="I45" s="53"/>
    </row>
    <row r="46" spans="1:9" x14ac:dyDescent="0.55000000000000004">
      <c r="A46" s="102"/>
      <c r="B46" s="51"/>
      <c r="C46" s="51"/>
      <c r="E46" s="52"/>
      <c r="F46" s="50"/>
      <c r="G46" s="50"/>
      <c r="H46" s="53"/>
      <c r="I46" s="53"/>
    </row>
    <row r="47" spans="1:9" x14ac:dyDescent="0.55000000000000004">
      <c r="A47" s="102"/>
      <c r="B47" s="51"/>
      <c r="C47" s="51"/>
      <c r="E47" s="52"/>
      <c r="F47" s="50"/>
      <c r="G47" s="50"/>
      <c r="H47" s="53"/>
      <c r="I47" s="53"/>
    </row>
    <row r="48" spans="1:9" x14ac:dyDescent="0.55000000000000004">
      <c r="A48" s="102"/>
      <c r="B48" s="51"/>
      <c r="C48" s="51"/>
      <c r="D48" s="41"/>
      <c r="E48" s="42"/>
      <c r="F48" s="50"/>
      <c r="G48" s="50"/>
      <c r="H48" s="53"/>
      <c r="I48" s="53"/>
    </row>
    <row r="49" spans="1:9" x14ac:dyDescent="0.55000000000000004">
      <c r="A49" s="101"/>
      <c r="B49" s="45"/>
      <c r="C49" s="45"/>
      <c r="D49" s="41"/>
      <c r="E49" s="42"/>
      <c r="F49" s="47"/>
      <c r="G49" s="47"/>
      <c r="H49" s="48"/>
      <c r="I49" s="48"/>
    </row>
    <row r="50" spans="1:9" x14ac:dyDescent="0.55000000000000004">
      <c r="A50" s="101"/>
      <c r="B50" s="45"/>
      <c r="C50" s="45"/>
      <c r="D50" s="46"/>
      <c r="E50" s="42"/>
      <c r="F50" s="47"/>
      <c r="G50" s="47"/>
      <c r="H50" s="48"/>
      <c r="I50" s="48"/>
    </row>
    <row r="51" spans="1:9" x14ac:dyDescent="0.55000000000000004">
      <c r="A51" s="101"/>
      <c r="B51" s="45"/>
      <c r="C51" s="45"/>
      <c r="D51" s="46"/>
      <c r="E51" s="42"/>
      <c r="F51" s="47"/>
      <c r="G51" s="47"/>
      <c r="H51" s="48"/>
      <c r="I51" s="48"/>
    </row>
    <row r="52" spans="1:9" x14ac:dyDescent="0.55000000000000004">
      <c r="A52" s="103"/>
      <c r="B52" s="33"/>
      <c r="C52" s="33"/>
      <c r="D52" s="34"/>
      <c r="E52" s="35"/>
      <c r="F52" s="36"/>
      <c r="G52" s="36"/>
      <c r="H52" s="37"/>
      <c r="I52" s="37"/>
    </row>
    <row r="53" spans="1:9" x14ac:dyDescent="0.55000000000000004">
      <c r="A53" s="103"/>
      <c r="B53" s="33"/>
      <c r="C53" s="33"/>
      <c r="D53" s="34"/>
      <c r="E53" s="35"/>
      <c r="F53" s="36"/>
      <c r="G53" s="36"/>
      <c r="H53" s="37"/>
      <c r="I53" s="37"/>
    </row>
    <row r="54" spans="1:9" x14ac:dyDescent="0.55000000000000004">
      <c r="A54" s="103"/>
      <c r="B54" s="33"/>
      <c r="C54" s="33"/>
      <c r="D54" s="34"/>
      <c r="E54" s="35"/>
      <c r="F54" s="36"/>
      <c r="G54" s="36"/>
      <c r="H54" s="37"/>
      <c r="I54" s="37"/>
    </row>
    <row r="55" spans="1:9" x14ac:dyDescent="0.55000000000000004">
      <c r="A55" s="103"/>
      <c r="B55" s="33"/>
      <c r="C55" s="33"/>
      <c r="D55" s="34"/>
      <c r="E55" s="35"/>
      <c r="F55" s="36"/>
      <c r="G55" s="36"/>
      <c r="H55" s="37"/>
      <c r="I55" s="37"/>
    </row>
    <row r="56" spans="1:9" x14ac:dyDescent="0.55000000000000004">
      <c r="A56" s="103"/>
      <c r="B56" s="33"/>
      <c r="C56" s="33"/>
      <c r="D56" s="34"/>
      <c r="E56" s="35"/>
      <c r="F56" s="36"/>
      <c r="G56" s="36"/>
      <c r="H56" s="37"/>
      <c r="I56" s="37"/>
    </row>
  </sheetData>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'Supplier (COA)'!$H$3:$H$5</xm:f>
          </x14:formula1>
          <xm:sqref>C2:C53</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rgb="FF002060"/>
  </sheetPr>
  <dimension ref="A1:K27"/>
  <sheetViews>
    <sheetView topLeftCell="A9" zoomScaleNormal="100" workbookViewId="0">
      <selection activeCell="C3" sqref="C3"/>
    </sheetView>
  </sheetViews>
  <sheetFormatPr defaultColWidth="8.7109375" defaultRowHeight="21.75" x14ac:dyDescent="0.55000000000000004"/>
  <cols>
    <col min="1" max="1" width="3.5703125" style="1" bestFit="1" customWidth="1"/>
    <col min="2" max="2" width="26.140625" style="1" customWidth="1"/>
    <col min="3" max="3" width="16.42578125" style="8" customWidth="1"/>
    <col min="4" max="5" width="18.42578125" style="8" customWidth="1"/>
    <col min="6" max="6" width="17.42578125" style="8" customWidth="1"/>
    <col min="7" max="7" width="11.85546875" style="9" bestFit="1" customWidth="1"/>
    <col min="8" max="8" width="10.85546875" style="9" bestFit="1" customWidth="1"/>
    <col min="9" max="10" width="8.7109375" style="1"/>
    <col min="11" max="11" width="24.42578125" style="1" bestFit="1" customWidth="1"/>
    <col min="12" max="16384" width="8.7109375" style="1"/>
  </cols>
  <sheetData>
    <row r="1" spans="1:11" s="7" customFormat="1" x14ac:dyDescent="0.55000000000000004">
      <c r="A1" s="21" t="s">
        <v>0</v>
      </c>
      <c r="B1" s="21" t="s">
        <v>3</v>
      </c>
      <c r="C1" s="22" t="s">
        <v>5</v>
      </c>
      <c r="D1" s="22" t="s">
        <v>6</v>
      </c>
      <c r="E1" s="22" t="s">
        <v>7</v>
      </c>
      <c r="F1" s="22" t="s">
        <v>8</v>
      </c>
      <c r="G1" s="8"/>
      <c r="H1" s="8"/>
      <c r="K1" s="12"/>
    </row>
    <row r="2" spans="1:11" x14ac:dyDescent="0.55000000000000004">
      <c r="A2" s="23">
        <v>1</v>
      </c>
      <c r="B2" s="23" t="s">
        <v>9</v>
      </c>
      <c r="C2" s="20">
        <f>SUMIF('Data Combine'!$D:$D,$B2,'Data Combine'!F:F)</f>
        <v>302500</v>
      </c>
      <c r="D2" s="20">
        <f>SUMIF('Data Combine'!$D:$D,$B2,'Data Combine'!G:G)</f>
        <v>0</v>
      </c>
      <c r="E2" s="20">
        <f>SUMIF('Data Combine'!$D:$D,$B2,'Data Combine'!H:H)</f>
        <v>302500</v>
      </c>
      <c r="F2" s="20">
        <f>SUMIF('Data Combine'!$D:$D,$B2,'Data Combine'!I:I)</f>
        <v>0</v>
      </c>
      <c r="K2" s="12"/>
    </row>
    <row r="3" spans="1:11" x14ac:dyDescent="0.55000000000000004">
      <c r="A3" s="23">
        <v>2</v>
      </c>
      <c r="B3" s="24" t="s">
        <v>15</v>
      </c>
      <c r="C3" s="20">
        <f>SUMIF('Data Combine'!$D:$D,$B3,'Data Combine'!F:F)</f>
        <v>306000</v>
      </c>
      <c r="D3" s="20">
        <f>SUMIF('Data Combine'!$D:$D,$B3,'Data Combine'!G:G)</f>
        <v>142450</v>
      </c>
      <c r="E3" s="20">
        <f>SUMIF('Data Combine'!$D:$D,$B3,'Data Combine'!H:H)</f>
        <v>0</v>
      </c>
      <c r="F3" s="20">
        <f>SUMIF('Data Combine'!$D:$D,$B3,'Data Combine'!I:I)</f>
        <v>448450</v>
      </c>
      <c r="G3" s="1"/>
      <c r="H3" s="1"/>
      <c r="K3" s="12"/>
    </row>
    <row r="4" spans="1:11" x14ac:dyDescent="0.55000000000000004">
      <c r="A4" s="23">
        <v>3</v>
      </c>
      <c r="B4" s="24" t="s">
        <v>18</v>
      </c>
      <c r="C4" s="20">
        <f>SUMIF('Data Combine'!$D:$D,$B4,'Data Combine'!F:F)</f>
        <v>706911</v>
      </c>
      <c r="D4" s="20">
        <f>SUMIF('Data Combine'!$D:$D,$B4,'Data Combine'!G:G)</f>
        <v>78625</v>
      </c>
      <c r="E4" s="20">
        <f>SUMIF('Data Combine'!$D:$D,$B4,'Data Combine'!H:H)</f>
        <v>0</v>
      </c>
      <c r="F4" s="20">
        <f>SUMIF('Data Combine'!$D:$D,$B4,'Data Combine'!I:I)</f>
        <v>785536</v>
      </c>
      <c r="G4" s="1"/>
      <c r="H4" s="1"/>
      <c r="K4" s="12"/>
    </row>
    <row r="5" spans="1:11" x14ac:dyDescent="0.55000000000000004">
      <c r="A5" s="23">
        <v>4</v>
      </c>
      <c r="B5" s="24" t="s">
        <v>74</v>
      </c>
      <c r="C5" s="20">
        <f>SUMIF('Data Combine'!$D:$D,$B5,'Data Combine'!F:F)</f>
        <v>1090960</v>
      </c>
      <c r="D5" s="20">
        <f>SUMIF('Data Combine'!$D:$D,$B5,'Data Combine'!G:G)</f>
        <v>0</v>
      </c>
      <c r="E5" s="20">
        <f>SUMIF('Data Combine'!$D:$D,$B5,'Data Combine'!H:H)</f>
        <v>0</v>
      </c>
      <c r="F5" s="20">
        <f>SUMIF('Data Combine'!$D:$D,$B5,'Data Combine'!I:I)</f>
        <v>1090960</v>
      </c>
      <c r="G5" s="1"/>
      <c r="H5" s="1"/>
      <c r="K5" s="12"/>
    </row>
    <row r="6" spans="1:11" x14ac:dyDescent="0.55000000000000004">
      <c r="A6" s="23">
        <v>5</v>
      </c>
      <c r="B6" s="24" t="s">
        <v>76</v>
      </c>
      <c r="C6" s="20">
        <f>SUMIF('Data Combine'!$D:$D,$B6,'Data Combine'!F:F)</f>
        <v>983000</v>
      </c>
      <c r="D6" s="20">
        <f>SUMIF('Data Combine'!$D:$D,$B6,'Data Combine'!G:G)</f>
        <v>0</v>
      </c>
      <c r="E6" s="20">
        <f>SUMIF('Data Combine'!$D:$D,$B6,'Data Combine'!H:H)</f>
        <v>0</v>
      </c>
      <c r="F6" s="20">
        <f>SUMIF('Data Combine'!$D:$D,$B6,'Data Combine'!I:I)</f>
        <v>983000</v>
      </c>
      <c r="G6" s="1"/>
      <c r="H6" s="1"/>
      <c r="K6" s="12"/>
    </row>
    <row r="7" spans="1:11" x14ac:dyDescent="0.55000000000000004">
      <c r="A7" s="23">
        <v>6</v>
      </c>
      <c r="B7" s="24" t="s">
        <v>75</v>
      </c>
      <c r="C7" s="20">
        <f>SUMIF('Data Combine'!$D:$D,$B7,'Data Combine'!F:F)</f>
        <v>16740000</v>
      </c>
      <c r="D7" s="20">
        <f>SUMIF('Data Combine'!$D:$D,$B7,'Data Combine'!G:G)</f>
        <v>0</v>
      </c>
      <c r="E7" s="20">
        <f>SUMIF('Data Combine'!$D:$D,$B7,'Data Combine'!H:H)</f>
        <v>0</v>
      </c>
      <c r="F7" s="20">
        <f>SUMIF('Data Combine'!$D:$D,$B7,'Data Combine'!I:I)</f>
        <v>16740000</v>
      </c>
      <c r="G7" s="1"/>
      <c r="H7" s="1"/>
      <c r="K7" s="12"/>
    </row>
    <row r="8" spans="1:11" x14ac:dyDescent="0.55000000000000004">
      <c r="A8" s="23">
        <v>7</v>
      </c>
      <c r="B8" s="24" t="s">
        <v>29</v>
      </c>
      <c r="C8" s="20">
        <f>SUMIF('Data Combine'!$D:$D,$B8,'Data Combine'!F:F)</f>
        <v>0</v>
      </c>
      <c r="D8" s="20">
        <f>SUMIF('Data Combine'!$D:$D,$B8,'Data Combine'!G:G)</f>
        <v>0</v>
      </c>
      <c r="E8" s="20">
        <f>SUMIF('Data Combine'!$D:$D,$B8,'Data Combine'!H:H)</f>
        <v>0</v>
      </c>
      <c r="F8" s="20">
        <f>SUMIF('Data Combine'!$D:$D,$B8,'Data Combine'!I:I)</f>
        <v>0</v>
      </c>
      <c r="G8" s="1"/>
      <c r="H8" s="1"/>
      <c r="K8" s="12"/>
    </row>
    <row r="9" spans="1:11" x14ac:dyDescent="0.55000000000000004">
      <c r="A9" s="23">
        <v>8</v>
      </c>
      <c r="B9" s="24" t="s">
        <v>77</v>
      </c>
      <c r="C9" s="20">
        <f>SUMIF('Data Combine'!$D:$D,$B9,'Data Combine'!F:F)</f>
        <v>1657480</v>
      </c>
      <c r="D9" s="20">
        <f>SUMIF('Data Combine'!$D:$D,$B9,'Data Combine'!G:G)</f>
        <v>98000</v>
      </c>
      <c r="E9" s="20">
        <f>SUMIF('Data Combine'!$D:$D,$B9,'Data Combine'!H:H)</f>
        <v>0</v>
      </c>
      <c r="F9" s="20">
        <f>SUMIF('Data Combine'!$D:$D,$B9,'Data Combine'!I:I)</f>
        <v>1755480</v>
      </c>
      <c r="G9" s="1"/>
      <c r="H9" s="1"/>
      <c r="K9" s="12"/>
    </row>
    <row r="10" spans="1:11" x14ac:dyDescent="0.55000000000000004">
      <c r="A10" s="23">
        <v>9</v>
      </c>
      <c r="B10" s="24" t="s">
        <v>58</v>
      </c>
      <c r="C10" s="20">
        <f>SUMIF('Data Combine'!$D:$D,$B10,'Data Combine'!F:F)</f>
        <v>0</v>
      </c>
      <c r="D10" s="20">
        <f>SUMIF('Data Combine'!$D:$D,$B10,'Data Combine'!G:G)</f>
        <v>682380</v>
      </c>
      <c r="E10" s="20">
        <f>SUMIF('Data Combine'!$D:$D,$B10,'Data Combine'!H:H)</f>
        <v>0</v>
      </c>
      <c r="F10" s="20">
        <f>SUMIF('Data Combine'!$D:$D,$B10,'Data Combine'!I:I)</f>
        <v>682380</v>
      </c>
      <c r="G10" s="1"/>
      <c r="H10" s="1"/>
      <c r="K10" s="12"/>
    </row>
    <row r="11" spans="1:11" x14ac:dyDescent="0.55000000000000004">
      <c r="A11" s="23">
        <v>10</v>
      </c>
      <c r="B11" s="24" t="s">
        <v>42</v>
      </c>
      <c r="C11" s="20">
        <f>SUMIF('Data Combine'!$D:$D,$B11,'Data Combine'!F:F)</f>
        <v>0</v>
      </c>
      <c r="D11" s="20">
        <f>SUMIF('Data Combine'!$D:$D,$B11,'Data Combine'!G:G)</f>
        <v>0</v>
      </c>
      <c r="E11" s="20">
        <f>SUMIF('Data Combine'!$D:$D,$B11,'Data Combine'!H:H)</f>
        <v>0</v>
      </c>
      <c r="F11" s="20">
        <f>SUMIF('Data Combine'!$D:$D,$B11,'Data Combine'!I:I)</f>
        <v>0</v>
      </c>
      <c r="G11" s="1"/>
      <c r="H11" s="1"/>
      <c r="K11" s="12"/>
    </row>
    <row r="12" spans="1:11" x14ac:dyDescent="0.55000000000000004">
      <c r="A12" s="23">
        <v>11</v>
      </c>
      <c r="B12" s="24" t="s">
        <v>78</v>
      </c>
      <c r="C12" s="20">
        <f>SUMIF('Data Combine'!$D:$D,$B12,'Data Combine'!F:F)</f>
        <v>0</v>
      </c>
      <c r="D12" s="20">
        <f>SUMIF('Data Combine'!$D:$D,$B12,'Data Combine'!G:G)</f>
        <v>0</v>
      </c>
      <c r="E12" s="20">
        <f>SUMIF('Data Combine'!$D:$D,$B12,'Data Combine'!H:H)</f>
        <v>0</v>
      </c>
      <c r="F12" s="20">
        <f>SUMIF('Data Combine'!$D:$D,$B12,'Data Combine'!I:I)</f>
        <v>0</v>
      </c>
      <c r="K12" s="12"/>
    </row>
    <row r="13" spans="1:11" x14ac:dyDescent="0.55000000000000004">
      <c r="A13" s="23">
        <v>12</v>
      </c>
      <c r="B13" s="24" t="s">
        <v>44</v>
      </c>
      <c r="C13" s="20">
        <f>SUMIF('Data Combine'!$D:$D,$B13,'Data Combine'!F:F)</f>
        <v>2208992</v>
      </c>
      <c r="D13" s="20">
        <f>SUMIF('Data Combine'!$D:$D,$B13,'Data Combine'!G:G)</f>
        <v>0</v>
      </c>
      <c r="E13" s="20">
        <f>SUMIF('Data Combine'!$D:$D,$B13,'Data Combine'!H:H)</f>
        <v>0</v>
      </c>
      <c r="F13" s="20">
        <f>SUMIF('Data Combine'!$D:$D,$B13,'Data Combine'!I:I)</f>
        <v>2208992</v>
      </c>
      <c r="K13" s="12"/>
    </row>
    <row r="14" spans="1:11" x14ac:dyDescent="0.55000000000000004">
      <c r="A14" s="23">
        <v>13</v>
      </c>
      <c r="B14" s="24" t="s">
        <v>79</v>
      </c>
      <c r="C14" s="20">
        <f>SUMIF('Data Combine'!$D:$D,$B14,'Data Combine'!F:F)</f>
        <v>837010</v>
      </c>
      <c r="D14" s="20">
        <f>SUMIF('Data Combine'!$D:$D,$B14,'Data Combine'!G:G)</f>
        <v>0</v>
      </c>
      <c r="E14" s="20">
        <f>SUMIF('Data Combine'!$D:$D,$B14,'Data Combine'!H:H)</f>
        <v>837000</v>
      </c>
      <c r="F14" s="20">
        <f>SUMIF('Data Combine'!$D:$D,$B14,'Data Combine'!I:I)</f>
        <v>10</v>
      </c>
      <c r="K14" s="12"/>
    </row>
    <row r="15" spans="1:11" x14ac:dyDescent="0.55000000000000004">
      <c r="A15" s="23">
        <v>14</v>
      </c>
      <c r="B15" s="24" t="s">
        <v>80</v>
      </c>
      <c r="C15" s="20">
        <f>SUMIF('Data Combine'!$D:$D,$B15,'Data Combine'!F:F)</f>
        <v>188580</v>
      </c>
      <c r="D15" s="20">
        <f>SUMIF('Data Combine'!$D:$D,$B15,'Data Combine'!G:G)</f>
        <v>0</v>
      </c>
      <c r="E15" s="20">
        <f>SUMIF('Data Combine'!$D:$D,$B15,'Data Combine'!H:H)</f>
        <v>188580</v>
      </c>
      <c r="F15" s="20">
        <f>SUMIF('Data Combine'!$D:$D,$B15,'Data Combine'!I:I)</f>
        <v>0</v>
      </c>
      <c r="K15" s="12"/>
    </row>
    <row r="16" spans="1:11" x14ac:dyDescent="0.55000000000000004">
      <c r="A16" s="23">
        <v>15</v>
      </c>
      <c r="B16" s="24" t="s">
        <v>48</v>
      </c>
      <c r="C16" s="20">
        <f>SUMIF('Data Combine'!$D:$D,$B16,'Data Combine'!F:F)</f>
        <v>1342500</v>
      </c>
      <c r="D16" s="20">
        <f>SUMIF('Data Combine'!$D:$D,$B16,'Data Combine'!G:G)</f>
        <v>969000</v>
      </c>
      <c r="E16" s="20">
        <f>SUMIF('Data Combine'!$D:$D,$B16,'Data Combine'!H:H)</f>
        <v>1000000</v>
      </c>
      <c r="F16" s="20">
        <f>SUMIF('Data Combine'!$D:$D,$B16,'Data Combine'!I:I)</f>
        <v>1311500</v>
      </c>
      <c r="K16" s="12"/>
    </row>
    <row r="17" spans="1:11" x14ac:dyDescent="0.55000000000000004">
      <c r="A17" s="23">
        <v>16</v>
      </c>
      <c r="B17" s="24" t="s">
        <v>50</v>
      </c>
      <c r="C17" s="20">
        <f>SUMIF('Data Combine'!$D:$D,$B17,'Data Combine'!F:F)</f>
        <v>0</v>
      </c>
      <c r="D17" s="20">
        <f>SUMIF('Data Combine'!$D:$D,$B17,'Data Combine'!G:G)</f>
        <v>0</v>
      </c>
      <c r="E17" s="20">
        <f>SUMIF('Data Combine'!$D:$D,$B17,'Data Combine'!H:H)</f>
        <v>0</v>
      </c>
      <c r="F17" s="20">
        <f>SUMIF('Data Combine'!$D:$D,$B17,'Data Combine'!I:I)</f>
        <v>0</v>
      </c>
      <c r="K17" s="12"/>
    </row>
    <row r="18" spans="1:11" x14ac:dyDescent="0.55000000000000004">
      <c r="A18" s="23">
        <v>17</v>
      </c>
      <c r="B18" s="24" t="s">
        <v>65</v>
      </c>
      <c r="C18" s="20">
        <f>SUMIF('Data Combine'!$D:$D,$B18,'Data Combine'!F:F)</f>
        <v>0</v>
      </c>
      <c r="D18" s="20">
        <f>SUMIF('Data Combine'!$D:$D,$B18,'Data Combine'!G:G)</f>
        <v>0</v>
      </c>
      <c r="E18" s="20">
        <f>SUMIF('Data Combine'!$D:$D,$B18,'Data Combine'!H:H)</f>
        <v>0</v>
      </c>
      <c r="F18" s="20">
        <f>SUMIF('Data Combine'!$D:$D,$B18,'Data Combine'!I:I)</f>
        <v>0</v>
      </c>
      <c r="K18" s="12"/>
    </row>
    <row r="19" spans="1:11" x14ac:dyDescent="0.55000000000000004">
      <c r="A19" s="23">
        <v>18</v>
      </c>
      <c r="B19" s="24" t="s">
        <v>81</v>
      </c>
      <c r="C19" s="20">
        <f>SUMIF('Data Combine'!$D:$D,$B19,'Data Combine'!F:F)</f>
        <v>0</v>
      </c>
      <c r="D19" s="20">
        <f>SUMIF('Data Combine'!$D:$D,$B19,'Data Combine'!G:G)</f>
        <v>0</v>
      </c>
      <c r="E19" s="20">
        <f>SUMIF('Data Combine'!$D:$D,$B19,'Data Combine'!H:H)</f>
        <v>0</v>
      </c>
      <c r="F19" s="20">
        <f>SUMIF('Data Combine'!$D:$D,$B19,'Data Combine'!I:I)</f>
        <v>0</v>
      </c>
      <c r="K19" s="12"/>
    </row>
    <row r="20" spans="1:11" x14ac:dyDescent="0.55000000000000004">
      <c r="A20" s="23">
        <v>19</v>
      </c>
      <c r="B20" s="24" t="s">
        <v>82</v>
      </c>
      <c r="C20" s="20">
        <f>SUMIF('Data Combine'!$D:$D,$B20,'Data Combine'!F:F)</f>
        <v>143000</v>
      </c>
      <c r="D20" s="20">
        <f>SUMIF('Data Combine'!$D:$D,$B20,'Data Combine'!G:G)</f>
        <v>0</v>
      </c>
      <c r="E20" s="20">
        <f>SUMIF('Data Combine'!$D:$D,$B20,'Data Combine'!H:H)</f>
        <v>0</v>
      </c>
      <c r="F20" s="20">
        <f>SUMIF('Data Combine'!$D:$D,$B20,'Data Combine'!I:I)</f>
        <v>143000</v>
      </c>
      <c r="K20" s="12"/>
    </row>
    <row r="21" spans="1:11" x14ac:dyDescent="0.55000000000000004">
      <c r="A21" s="23">
        <v>20</v>
      </c>
      <c r="B21" s="24" t="s">
        <v>56</v>
      </c>
      <c r="C21" s="20">
        <f>SUMIF('Data Combine'!$D:$D,$B21,'Data Combine'!F:F)</f>
        <v>689502</v>
      </c>
      <c r="D21" s="20">
        <f>SUMIF('Data Combine'!$D:$D,$B21,'Data Combine'!G:G)</f>
        <v>951861</v>
      </c>
      <c r="E21" s="20">
        <f>SUMIF('Data Combine'!$D:$D,$B21,'Data Combine'!H:H)</f>
        <v>1000000</v>
      </c>
      <c r="F21" s="20">
        <f>SUMIF('Data Combine'!$D:$D,$B21,'Data Combine'!I:I)</f>
        <v>641363</v>
      </c>
      <c r="K21"/>
    </row>
    <row r="22" spans="1:11" x14ac:dyDescent="0.55000000000000004">
      <c r="K22"/>
    </row>
    <row r="23" spans="1:11" ht="22.5" thickBot="1" x14ac:dyDescent="0.6">
      <c r="B23" s="26" t="s">
        <v>84</v>
      </c>
      <c r="C23" s="25">
        <f>SUM(C2:C22)</f>
        <v>27196435</v>
      </c>
      <c r="D23" s="25">
        <f>SUM(D2:D22)</f>
        <v>2922316</v>
      </c>
      <c r="E23" s="25">
        <f>SUM(ZAN_25[Payment])</f>
        <v>3328080</v>
      </c>
      <c r="F23" s="25">
        <f>SUM(ZAN_25[Balance])</f>
        <v>26790671</v>
      </c>
      <c r="K23"/>
    </row>
    <row r="24" spans="1:11" ht="22.5" thickTop="1" x14ac:dyDescent="0.55000000000000004">
      <c r="K24"/>
    </row>
    <row r="25" spans="1:11" x14ac:dyDescent="0.55000000000000004">
      <c r="K25"/>
    </row>
    <row r="26" spans="1:11" x14ac:dyDescent="0.55000000000000004">
      <c r="K26"/>
    </row>
    <row r="27" spans="1:11" x14ac:dyDescent="0.55000000000000004">
      <c r="K27"/>
    </row>
  </sheetData>
  <pageMargins left="0.2" right="0.2" top="0.75" bottom="0.75" header="0.3" footer="0.3"/>
  <pageSetup paperSize="11" scale="70" orientation="portrait" verticalDpi="0" r:id="rId1"/>
  <legacyDrawing r:id="rId2"/>
  <tableParts count="1">
    <tablePart r:id="rId3"/>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71"/>
  <sheetViews>
    <sheetView workbookViewId="0">
      <selection activeCell="F2" sqref="F2"/>
    </sheetView>
  </sheetViews>
  <sheetFormatPr defaultRowHeight="21.75" x14ac:dyDescent="0.55000000000000004"/>
  <cols>
    <col min="1" max="1" width="38.28515625" style="41" bestFit="1" customWidth="1"/>
    <col min="2" max="2" width="34.5703125" style="41" bestFit="1" customWidth="1"/>
    <col min="3" max="3" width="11.28515625" style="138" customWidth="1"/>
    <col min="4" max="4" width="17.85546875" style="138" customWidth="1"/>
    <col min="5" max="5" width="22.28515625" style="138" customWidth="1"/>
    <col min="6" max="6" width="31.140625" style="138" customWidth="1"/>
    <col min="7" max="7" width="30.85546875" style="41" customWidth="1"/>
    <col min="8" max="8" width="21.85546875" style="41" bestFit="1" customWidth="1"/>
    <col min="9" max="16384" width="9.140625" style="41"/>
  </cols>
  <sheetData>
    <row r="1" spans="1:8" x14ac:dyDescent="0.55000000000000004">
      <c r="A1" s="168" t="s">
        <v>88</v>
      </c>
      <c r="B1" s="168" t="s">
        <v>89</v>
      </c>
      <c r="C1" s="168" t="s">
        <v>128</v>
      </c>
      <c r="D1" s="168" t="s">
        <v>85</v>
      </c>
      <c r="E1" s="167" t="s">
        <v>126</v>
      </c>
      <c r="F1" s="167" t="s">
        <v>94</v>
      </c>
      <c r="G1" s="167" t="s">
        <v>95</v>
      </c>
      <c r="H1" s="167" t="s">
        <v>127</v>
      </c>
    </row>
    <row r="2" spans="1:8" x14ac:dyDescent="0.55000000000000004">
      <c r="A2" s="166" t="s">
        <v>76</v>
      </c>
      <c r="B2" s="166" t="s">
        <v>5</v>
      </c>
      <c r="C2" s="166" t="s">
        <v>129</v>
      </c>
      <c r="D2" s="166"/>
      <c r="E2" s="167">
        <v>983000</v>
      </c>
      <c r="F2" s="167"/>
      <c r="G2" s="167"/>
      <c r="H2" s="167">
        <v>983000</v>
      </c>
    </row>
    <row r="3" spans="1:8" x14ac:dyDescent="0.55000000000000004">
      <c r="A3" s="166" t="s">
        <v>75</v>
      </c>
      <c r="B3" s="166" t="s">
        <v>5</v>
      </c>
      <c r="C3" s="166" t="s">
        <v>129</v>
      </c>
      <c r="D3" s="166"/>
      <c r="E3" s="167">
        <v>16740000</v>
      </c>
      <c r="F3" s="167"/>
      <c r="G3" s="167"/>
      <c r="H3" s="167">
        <v>16740000</v>
      </c>
    </row>
    <row r="4" spans="1:8" x14ac:dyDescent="0.55000000000000004">
      <c r="A4" s="166" t="s">
        <v>83</v>
      </c>
      <c r="B4" s="166"/>
      <c r="C4" s="166"/>
      <c r="D4" s="166"/>
      <c r="E4" s="167">
        <v>17723000</v>
      </c>
      <c r="F4" s="167"/>
      <c r="G4" s="167"/>
      <c r="H4" s="167">
        <v>17723000</v>
      </c>
    </row>
    <row r="5" spans="1:8" x14ac:dyDescent="0.55000000000000004">
      <c r="A5"/>
      <c r="B5"/>
      <c r="C5"/>
      <c r="D5"/>
      <c r="E5"/>
      <c r="F5"/>
      <c r="G5"/>
      <c r="H5"/>
    </row>
    <row r="6" spans="1:8" x14ac:dyDescent="0.55000000000000004">
      <c r="A6"/>
      <c r="B6"/>
      <c r="C6"/>
      <c r="D6"/>
      <c r="E6"/>
      <c r="F6"/>
      <c r="G6"/>
      <c r="H6"/>
    </row>
    <row r="7" spans="1:8" x14ac:dyDescent="0.55000000000000004">
      <c r="A7"/>
      <c r="B7"/>
      <c r="C7"/>
      <c r="D7"/>
      <c r="E7"/>
      <c r="F7"/>
      <c r="G7"/>
      <c r="H7"/>
    </row>
    <row r="8" spans="1:8" x14ac:dyDescent="0.55000000000000004">
      <c r="A8"/>
      <c r="B8"/>
      <c r="C8"/>
      <c r="D8"/>
      <c r="E8"/>
      <c r="F8"/>
      <c r="G8"/>
      <c r="H8"/>
    </row>
    <row r="9" spans="1:8" x14ac:dyDescent="0.55000000000000004">
      <c r="A9"/>
      <c r="B9"/>
      <c r="C9"/>
      <c r="D9"/>
      <c r="E9"/>
      <c r="F9"/>
      <c r="G9"/>
      <c r="H9"/>
    </row>
    <row r="10" spans="1:8" x14ac:dyDescent="0.55000000000000004">
      <c r="A10"/>
      <c r="B10"/>
      <c r="C10"/>
      <c r="D10"/>
      <c r="E10"/>
      <c r="F10"/>
      <c r="G10"/>
      <c r="H10"/>
    </row>
    <row r="11" spans="1:8" x14ac:dyDescent="0.55000000000000004">
      <c r="A11"/>
      <c r="B11"/>
      <c r="C11"/>
      <c r="D11"/>
      <c r="E11"/>
      <c r="F11"/>
      <c r="G11"/>
      <c r="H11"/>
    </row>
    <row r="12" spans="1:8" x14ac:dyDescent="0.55000000000000004">
      <c r="A12"/>
      <c r="B12"/>
      <c r="C12"/>
      <c r="D12"/>
      <c r="E12"/>
      <c r="F12"/>
      <c r="G12"/>
      <c r="H12"/>
    </row>
    <row r="13" spans="1:8" x14ac:dyDescent="0.55000000000000004">
      <c r="A13"/>
      <c r="B13"/>
      <c r="C13"/>
      <c r="D13"/>
      <c r="E13"/>
      <c r="F13"/>
      <c r="G13"/>
      <c r="H13"/>
    </row>
    <row r="14" spans="1:8" x14ac:dyDescent="0.55000000000000004">
      <c r="A14"/>
      <c r="B14"/>
      <c r="C14"/>
      <c r="D14"/>
      <c r="E14"/>
      <c r="F14"/>
      <c r="G14"/>
      <c r="H14"/>
    </row>
    <row r="15" spans="1:8" x14ac:dyDescent="0.55000000000000004">
      <c r="A15"/>
      <c r="B15"/>
      <c r="C15"/>
      <c r="D15"/>
      <c r="E15"/>
      <c r="F15"/>
      <c r="G15"/>
      <c r="H15"/>
    </row>
    <row r="16" spans="1:8" x14ac:dyDescent="0.55000000000000004">
      <c r="A16"/>
      <c r="B16"/>
      <c r="C16"/>
      <c r="D16"/>
      <c r="E16"/>
      <c r="F16"/>
      <c r="G16"/>
      <c r="H16"/>
    </row>
    <row r="17" spans="1:8" x14ac:dyDescent="0.55000000000000004">
      <c r="A17"/>
      <c r="B17"/>
      <c r="C17"/>
      <c r="D17"/>
      <c r="E17"/>
      <c r="F17"/>
      <c r="G17"/>
      <c r="H17"/>
    </row>
    <row r="18" spans="1:8" x14ac:dyDescent="0.55000000000000004">
      <c r="A18"/>
      <c r="B18"/>
      <c r="C18"/>
      <c r="D18"/>
      <c r="E18"/>
      <c r="F18"/>
      <c r="G18"/>
      <c r="H18"/>
    </row>
    <row r="19" spans="1:8" x14ac:dyDescent="0.55000000000000004">
      <c r="A19"/>
      <c r="B19"/>
      <c r="C19"/>
      <c r="D19"/>
      <c r="E19"/>
      <c r="F19"/>
      <c r="G19"/>
      <c r="H19"/>
    </row>
    <row r="20" spans="1:8" x14ac:dyDescent="0.55000000000000004">
      <c r="A20"/>
      <c r="B20"/>
      <c r="C20"/>
      <c r="D20"/>
      <c r="E20"/>
      <c r="F20"/>
      <c r="G20"/>
      <c r="H20"/>
    </row>
    <row r="21" spans="1:8" x14ac:dyDescent="0.55000000000000004">
      <c r="A21"/>
      <c r="B21"/>
      <c r="C21"/>
      <c r="D21"/>
      <c r="E21"/>
      <c r="F21"/>
      <c r="G21"/>
      <c r="H21"/>
    </row>
    <row r="22" spans="1:8" x14ac:dyDescent="0.55000000000000004">
      <c r="A22"/>
      <c r="B22"/>
      <c r="C22"/>
      <c r="D22"/>
      <c r="E22"/>
      <c r="F22"/>
      <c r="G22"/>
      <c r="H22"/>
    </row>
    <row r="23" spans="1:8" x14ac:dyDescent="0.55000000000000004">
      <c r="A23"/>
      <c r="B23"/>
      <c r="C23"/>
      <c r="D23"/>
      <c r="E23"/>
      <c r="F23"/>
      <c r="G23"/>
      <c r="H23"/>
    </row>
    <row r="24" spans="1:8" x14ac:dyDescent="0.55000000000000004">
      <c r="A24"/>
      <c r="B24"/>
      <c r="C24"/>
      <c r="D24"/>
      <c r="E24"/>
      <c r="F24"/>
      <c r="G24"/>
      <c r="H24"/>
    </row>
    <row r="25" spans="1:8" x14ac:dyDescent="0.55000000000000004">
      <c r="A25"/>
      <c r="B25"/>
      <c r="C25"/>
      <c r="D25"/>
      <c r="E25"/>
      <c r="F25"/>
      <c r="G25"/>
      <c r="H25"/>
    </row>
    <row r="26" spans="1:8" x14ac:dyDescent="0.55000000000000004">
      <c r="A26"/>
      <c r="B26"/>
      <c r="C26"/>
      <c r="D26"/>
      <c r="E26"/>
      <c r="F26"/>
      <c r="G26"/>
      <c r="H26"/>
    </row>
    <row r="27" spans="1:8" x14ac:dyDescent="0.55000000000000004">
      <c r="A27"/>
      <c r="B27"/>
      <c r="C27"/>
      <c r="D27"/>
      <c r="E27"/>
      <c r="F27"/>
      <c r="G27"/>
      <c r="H27"/>
    </row>
    <row r="28" spans="1:8" x14ac:dyDescent="0.55000000000000004">
      <c r="A28"/>
      <c r="B28"/>
      <c r="C28"/>
      <c r="D28"/>
      <c r="E28"/>
      <c r="F28"/>
      <c r="G28"/>
      <c r="H28"/>
    </row>
    <row r="29" spans="1:8" x14ac:dyDescent="0.55000000000000004">
      <c r="A29"/>
      <c r="B29"/>
      <c r="C29"/>
      <c r="D29"/>
      <c r="E29"/>
      <c r="F29"/>
      <c r="G29"/>
      <c r="H29"/>
    </row>
    <row r="30" spans="1:8" x14ac:dyDescent="0.55000000000000004">
      <c r="A30"/>
      <c r="B30"/>
      <c r="C30"/>
      <c r="D30"/>
      <c r="E30"/>
      <c r="F30"/>
      <c r="G30"/>
      <c r="H30"/>
    </row>
    <row r="31" spans="1:8" x14ac:dyDescent="0.55000000000000004">
      <c r="A31"/>
      <c r="B31"/>
      <c r="C31"/>
      <c r="D31"/>
      <c r="E31"/>
      <c r="F31"/>
      <c r="G31"/>
      <c r="H31"/>
    </row>
    <row r="32" spans="1:8" x14ac:dyDescent="0.55000000000000004">
      <c r="A32"/>
      <c r="B32"/>
      <c r="C32"/>
      <c r="D32"/>
      <c r="E32"/>
      <c r="F32"/>
      <c r="G32"/>
      <c r="H32"/>
    </row>
    <row r="33" spans="1:8" x14ac:dyDescent="0.55000000000000004">
      <c r="A33"/>
      <c r="B33"/>
      <c r="C33"/>
      <c r="D33"/>
      <c r="E33"/>
      <c r="F33"/>
      <c r="G33"/>
      <c r="H33"/>
    </row>
    <row r="34" spans="1:8" x14ac:dyDescent="0.55000000000000004">
      <c r="A34"/>
      <c r="B34"/>
      <c r="C34"/>
      <c r="D34"/>
      <c r="E34"/>
      <c r="F34"/>
      <c r="G34"/>
      <c r="H34"/>
    </row>
    <row r="35" spans="1:8" x14ac:dyDescent="0.55000000000000004">
      <c r="A35"/>
      <c r="B35"/>
      <c r="C35"/>
      <c r="D35"/>
      <c r="E35"/>
      <c r="F35"/>
      <c r="G35"/>
      <c r="H35"/>
    </row>
    <row r="36" spans="1:8" x14ac:dyDescent="0.55000000000000004">
      <c r="A36"/>
      <c r="B36"/>
      <c r="C36"/>
      <c r="D36"/>
      <c r="E36"/>
      <c r="F36"/>
      <c r="G36"/>
      <c r="H36"/>
    </row>
    <row r="37" spans="1:8" x14ac:dyDescent="0.55000000000000004">
      <c r="A37"/>
      <c r="B37"/>
      <c r="C37"/>
      <c r="D37"/>
      <c r="E37"/>
      <c r="F37"/>
      <c r="G37"/>
      <c r="H37"/>
    </row>
    <row r="38" spans="1:8" x14ac:dyDescent="0.55000000000000004">
      <c r="A38"/>
      <c r="B38"/>
      <c r="C38"/>
      <c r="D38"/>
      <c r="E38"/>
      <c r="F38"/>
      <c r="G38"/>
      <c r="H38"/>
    </row>
    <row r="39" spans="1:8" x14ac:dyDescent="0.55000000000000004">
      <c r="A39"/>
      <c r="B39"/>
      <c r="C39"/>
      <c r="D39"/>
      <c r="E39"/>
      <c r="F39"/>
      <c r="G39"/>
      <c r="H39"/>
    </row>
    <row r="40" spans="1:8" x14ac:dyDescent="0.55000000000000004">
      <c r="A40"/>
      <c r="B40"/>
      <c r="C40"/>
      <c r="D40"/>
      <c r="E40"/>
      <c r="F40"/>
      <c r="G40"/>
      <c r="H40"/>
    </row>
    <row r="41" spans="1:8" x14ac:dyDescent="0.55000000000000004">
      <c r="A41"/>
      <c r="B41"/>
      <c r="C41"/>
      <c r="D41"/>
      <c r="E41"/>
      <c r="F41"/>
      <c r="G41"/>
      <c r="H41"/>
    </row>
    <row r="42" spans="1:8" x14ac:dyDescent="0.55000000000000004">
      <c r="A42"/>
      <c r="B42"/>
      <c r="C42"/>
      <c r="D42"/>
      <c r="E42"/>
      <c r="F42"/>
      <c r="G42"/>
      <c r="H42"/>
    </row>
    <row r="43" spans="1:8" x14ac:dyDescent="0.55000000000000004">
      <c r="A43"/>
      <c r="B43"/>
      <c r="C43"/>
      <c r="D43"/>
      <c r="E43"/>
      <c r="F43"/>
      <c r="G43"/>
      <c r="H43"/>
    </row>
    <row r="44" spans="1:8" x14ac:dyDescent="0.55000000000000004">
      <c r="A44"/>
      <c r="B44"/>
      <c r="C44"/>
      <c r="D44"/>
      <c r="E44"/>
      <c r="F44"/>
      <c r="G44"/>
      <c r="H44"/>
    </row>
    <row r="45" spans="1:8" x14ac:dyDescent="0.55000000000000004">
      <c r="A45"/>
      <c r="B45"/>
      <c r="C45"/>
      <c r="D45"/>
      <c r="E45"/>
      <c r="F45"/>
      <c r="G45"/>
      <c r="H45"/>
    </row>
    <row r="46" spans="1:8" x14ac:dyDescent="0.55000000000000004">
      <c r="A46"/>
      <c r="B46"/>
      <c r="C46"/>
      <c r="D46"/>
      <c r="E46"/>
      <c r="F46"/>
      <c r="G46"/>
      <c r="H46"/>
    </row>
    <row r="47" spans="1:8" x14ac:dyDescent="0.55000000000000004">
      <c r="A47"/>
      <c r="B47"/>
      <c r="C47"/>
      <c r="D47"/>
      <c r="E47"/>
      <c r="F47"/>
      <c r="G47"/>
      <c r="H47"/>
    </row>
    <row r="48" spans="1:8" x14ac:dyDescent="0.55000000000000004">
      <c r="A48"/>
      <c r="B48"/>
      <c r="C48"/>
      <c r="D48"/>
      <c r="E48"/>
      <c r="F48"/>
      <c r="G48"/>
      <c r="H48"/>
    </row>
    <row r="49" spans="1:8" x14ac:dyDescent="0.55000000000000004">
      <c r="A49"/>
      <c r="B49"/>
      <c r="C49"/>
      <c r="D49"/>
      <c r="E49"/>
      <c r="F49"/>
      <c r="G49"/>
      <c r="H49"/>
    </row>
    <row r="50" spans="1:8" x14ac:dyDescent="0.55000000000000004">
      <c r="A50"/>
      <c r="B50"/>
      <c r="C50"/>
      <c r="D50"/>
      <c r="E50"/>
      <c r="F50"/>
      <c r="G50"/>
      <c r="H50"/>
    </row>
    <row r="51" spans="1:8" x14ac:dyDescent="0.55000000000000004">
      <c r="A51"/>
      <c r="B51"/>
      <c r="C51" s="139"/>
      <c r="D51" s="139"/>
      <c r="E51" s="139"/>
      <c r="F51" s="139"/>
    </row>
    <row r="52" spans="1:8" x14ac:dyDescent="0.55000000000000004">
      <c r="A52"/>
      <c r="B52"/>
      <c r="C52" s="139"/>
      <c r="D52" s="139"/>
      <c r="E52" s="139"/>
      <c r="F52" s="139"/>
    </row>
    <row r="53" spans="1:8" x14ac:dyDescent="0.55000000000000004">
      <c r="A53"/>
      <c r="B53"/>
      <c r="C53" s="139"/>
      <c r="D53" s="139"/>
      <c r="E53" s="139"/>
      <c r="F53" s="139"/>
    </row>
    <row r="54" spans="1:8" x14ac:dyDescent="0.55000000000000004">
      <c r="A54"/>
      <c r="B54"/>
      <c r="C54" s="139"/>
      <c r="D54" s="139"/>
      <c r="E54" s="139"/>
      <c r="F54" s="139"/>
    </row>
    <row r="55" spans="1:8" x14ac:dyDescent="0.55000000000000004">
      <c r="A55"/>
      <c r="B55"/>
      <c r="C55" s="139"/>
      <c r="D55" s="139"/>
      <c r="E55" s="139"/>
      <c r="F55" s="139"/>
    </row>
    <row r="56" spans="1:8" x14ac:dyDescent="0.55000000000000004">
      <c r="A56"/>
      <c r="B56"/>
      <c r="C56" s="139"/>
      <c r="D56" s="139"/>
      <c r="E56" s="139"/>
      <c r="F56" s="139"/>
    </row>
    <row r="57" spans="1:8" x14ac:dyDescent="0.55000000000000004">
      <c r="A57"/>
      <c r="B57"/>
      <c r="C57" s="139"/>
      <c r="D57" s="139"/>
      <c r="E57" s="139"/>
      <c r="F57" s="139"/>
    </row>
    <row r="58" spans="1:8" x14ac:dyDescent="0.55000000000000004">
      <c r="A58"/>
      <c r="B58"/>
      <c r="C58" s="139"/>
      <c r="D58" s="139"/>
      <c r="E58" s="139"/>
      <c r="F58" s="139"/>
    </row>
    <row r="59" spans="1:8" x14ac:dyDescent="0.55000000000000004">
      <c r="A59"/>
      <c r="B59"/>
      <c r="C59" s="139"/>
      <c r="D59" s="139"/>
      <c r="E59" s="139"/>
      <c r="F59" s="139"/>
    </row>
    <row r="60" spans="1:8" x14ac:dyDescent="0.55000000000000004">
      <c r="A60"/>
      <c r="B60"/>
      <c r="C60" s="139"/>
      <c r="D60" s="139"/>
      <c r="E60" s="139"/>
      <c r="F60" s="139"/>
    </row>
    <row r="61" spans="1:8" x14ac:dyDescent="0.55000000000000004">
      <c r="A61"/>
      <c r="B61"/>
      <c r="C61" s="139"/>
      <c r="D61" s="139"/>
      <c r="E61" s="139"/>
      <c r="F61" s="139"/>
    </row>
    <row r="62" spans="1:8" x14ac:dyDescent="0.55000000000000004">
      <c r="A62"/>
      <c r="B62"/>
      <c r="C62" s="139"/>
      <c r="D62" s="139"/>
      <c r="E62" s="139"/>
      <c r="F62" s="139"/>
    </row>
    <row r="63" spans="1:8" x14ac:dyDescent="0.55000000000000004">
      <c r="A63"/>
      <c r="B63"/>
      <c r="C63" s="139"/>
      <c r="D63" s="139"/>
      <c r="E63" s="139"/>
      <c r="F63" s="139"/>
    </row>
    <row r="64" spans="1:8" x14ac:dyDescent="0.55000000000000004">
      <c r="A64"/>
      <c r="B64"/>
      <c r="C64" s="139"/>
      <c r="D64" s="139"/>
      <c r="E64" s="139"/>
      <c r="F64" s="139"/>
    </row>
    <row r="65" spans="1:6" x14ac:dyDescent="0.55000000000000004">
      <c r="A65"/>
      <c r="B65"/>
      <c r="C65" s="139"/>
      <c r="D65" s="139"/>
      <c r="E65" s="139"/>
      <c r="F65" s="139"/>
    </row>
    <row r="66" spans="1:6" x14ac:dyDescent="0.55000000000000004">
      <c r="A66"/>
      <c r="B66"/>
      <c r="C66" s="139"/>
      <c r="D66" s="139"/>
      <c r="E66" s="139"/>
      <c r="F66" s="139"/>
    </row>
    <row r="67" spans="1:6" x14ac:dyDescent="0.55000000000000004">
      <c r="A67"/>
      <c r="B67"/>
      <c r="C67" s="139"/>
      <c r="D67" s="139"/>
      <c r="E67" s="139"/>
      <c r="F67" s="139"/>
    </row>
    <row r="68" spans="1:6" x14ac:dyDescent="0.55000000000000004">
      <c r="A68"/>
      <c r="B68"/>
      <c r="C68" s="139"/>
      <c r="D68" s="139"/>
      <c r="E68" s="139"/>
      <c r="F68" s="139"/>
    </row>
    <row r="69" spans="1:6" x14ac:dyDescent="0.55000000000000004">
      <c r="A69"/>
      <c r="B69"/>
      <c r="C69" s="139"/>
      <c r="D69" s="139"/>
      <c r="E69" s="139"/>
      <c r="F69" s="139"/>
    </row>
    <row r="70" spans="1:6" x14ac:dyDescent="0.55000000000000004">
      <c r="A70"/>
      <c r="B70"/>
      <c r="C70" s="139"/>
      <c r="D70" s="139"/>
      <c r="E70" s="139"/>
      <c r="F70" s="139"/>
    </row>
    <row r="71" spans="1:6" x14ac:dyDescent="0.55000000000000004">
      <c r="A71"/>
      <c r="B71"/>
      <c r="C71" s="139"/>
      <c r="D71" s="139"/>
      <c r="E71" s="139"/>
      <c r="F71" s="139"/>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J445"/>
  <sheetViews>
    <sheetView workbookViewId="0">
      <selection activeCell="F11" sqref="F11:F13"/>
    </sheetView>
  </sheetViews>
  <sheetFormatPr defaultRowHeight="15" x14ac:dyDescent="0.25"/>
  <cols>
    <col min="1" max="1" width="17.85546875" style="137" bestFit="1" customWidth="1"/>
    <col min="2" max="2" width="18.85546875" bestFit="1" customWidth="1"/>
    <col min="3" max="3" width="22.28515625" bestFit="1" customWidth="1"/>
    <col min="4" max="4" width="28.42578125" bestFit="1" customWidth="1"/>
    <col min="5" max="5" width="34.5703125" bestFit="1" customWidth="1"/>
    <col min="6" max="6" width="23.5703125" style="139" bestFit="1" customWidth="1"/>
    <col min="7" max="7" width="24.7109375" style="139" bestFit="1" customWidth="1"/>
    <col min="8" max="8" width="24.42578125" style="139" bestFit="1" customWidth="1"/>
    <col min="9" max="9" width="23.140625" style="139" bestFit="1" customWidth="1"/>
    <col min="10" max="10" width="29.5703125" style="139" bestFit="1" customWidth="1"/>
  </cols>
  <sheetData>
    <row r="1" spans="1:10" ht="21.75" x14ac:dyDescent="0.55000000000000004">
      <c r="A1" s="136" t="s">
        <v>85</v>
      </c>
      <c r="B1" s="46" t="s">
        <v>86</v>
      </c>
      <c r="C1" s="46" t="s">
        <v>87</v>
      </c>
      <c r="D1" s="46" t="s">
        <v>88</v>
      </c>
      <c r="E1" s="46" t="s">
        <v>89</v>
      </c>
      <c r="F1" s="138" t="s">
        <v>90</v>
      </c>
      <c r="G1" s="138" t="s">
        <v>91</v>
      </c>
      <c r="H1" s="138" t="s">
        <v>92</v>
      </c>
      <c r="I1" s="138" t="s">
        <v>93</v>
      </c>
      <c r="J1" s="138" t="s">
        <v>125</v>
      </c>
    </row>
    <row r="2" spans="1:10" ht="21.75" hidden="1" x14ac:dyDescent="0.55000000000000004">
      <c r="A2" s="136">
        <v>44409</v>
      </c>
      <c r="B2" s="46"/>
      <c r="C2" s="46" t="s">
        <v>5</v>
      </c>
      <c r="D2" s="46" t="s">
        <v>9</v>
      </c>
      <c r="E2" s="46" t="s">
        <v>5</v>
      </c>
      <c r="F2" s="138">
        <v>302500</v>
      </c>
      <c r="G2" s="138"/>
      <c r="H2" s="138"/>
      <c r="I2" s="138">
        <v>302500</v>
      </c>
      <c r="J2" s="138">
        <v>302500</v>
      </c>
    </row>
    <row r="3" spans="1:10" ht="21.75" hidden="1" x14ac:dyDescent="0.55000000000000004">
      <c r="A3" s="136">
        <v>44438</v>
      </c>
      <c r="B3" s="46">
        <v>243</v>
      </c>
      <c r="C3" s="46" t="s">
        <v>7</v>
      </c>
      <c r="D3" s="46" t="s">
        <v>9</v>
      </c>
      <c r="E3" s="46" t="s">
        <v>118</v>
      </c>
      <c r="F3" s="138"/>
      <c r="G3" s="138"/>
      <c r="H3" s="138">
        <v>16500</v>
      </c>
      <c r="I3" s="138">
        <v>-16500</v>
      </c>
      <c r="J3" s="138">
        <v>286000</v>
      </c>
    </row>
    <row r="4" spans="1:10" ht="21.75" hidden="1" x14ac:dyDescent="0.55000000000000004">
      <c r="A4" s="136">
        <v>44439</v>
      </c>
      <c r="B4" s="46">
        <v>204</v>
      </c>
      <c r="C4" s="46" t="s">
        <v>7</v>
      </c>
      <c r="D4" s="46" t="s">
        <v>9</v>
      </c>
      <c r="E4" s="46" t="s">
        <v>119</v>
      </c>
      <c r="F4" s="138"/>
      <c r="G4" s="138"/>
      <c r="H4" s="138">
        <v>286000</v>
      </c>
      <c r="I4" s="138">
        <v>-286000</v>
      </c>
      <c r="J4" s="138">
        <v>0</v>
      </c>
    </row>
    <row r="5" spans="1:10" ht="21.75" hidden="1" x14ac:dyDescent="0.55000000000000004">
      <c r="A5" s="136">
        <v>44409</v>
      </c>
      <c r="B5" s="46"/>
      <c r="C5" s="46" t="s">
        <v>5</v>
      </c>
      <c r="D5" s="46" t="s">
        <v>15</v>
      </c>
      <c r="E5" s="46" t="s">
        <v>5</v>
      </c>
      <c r="F5" s="138">
        <v>306000</v>
      </c>
      <c r="G5" s="138"/>
      <c r="H5" s="138"/>
      <c r="I5" s="138">
        <v>306000</v>
      </c>
      <c r="J5" s="138">
        <v>306000</v>
      </c>
    </row>
    <row r="6" spans="1:10" ht="21.75" hidden="1" x14ac:dyDescent="0.55000000000000004">
      <c r="A6" s="136">
        <v>44432</v>
      </c>
      <c r="B6" s="46">
        <v>80395</v>
      </c>
      <c r="C6" s="46" t="s">
        <v>6</v>
      </c>
      <c r="D6" s="46" t="s">
        <v>15</v>
      </c>
      <c r="E6" s="46" t="s">
        <v>113</v>
      </c>
      <c r="F6" s="138"/>
      <c r="G6" s="138">
        <v>142450</v>
      </c>
      <c r="H6" s="138"/>
      <c r="I6" s="138">
        <v>142450</v>
      </c>
      <c r="J6" s="138">
        <v>448450</v>
      </c>
    </row>
    <row r="7" spans="1:10" ht="21.75" hidden="1" x14ac:dyDescent="0.55000000000000004">
      <c r="A7" s="136">
        <v>44409</v>
      </c>
      <c r="B7" s="46"/>
      <c r="C7" s="46" t="s">
        <v>5</v>
      </c>
      <c r="D7" s="46" t="s">
        <v>18</v>
      </c>
      <c r="E7" s="46" t="s">
        <v>5</v>
      </c>
      <c r="F7" s="138">
        <v>706911</v>
      </c>
      <c r="G7" s="138"/>
      <c r="H7" s="138"/>
      <c r="I7" s="138">
        <v>706911</v>
      </c>
      <c r="J7" s="138">
        <v>706911</v>
      </c>
    </row>
    <row r="8" spans="1:10" ht="21.75" hidden="1" x14ac:dyDescent="0.55000000000000004">
      <c r="A8" s="136">
        <v>44431</v>
      </c>
      <c r="B8" s="46">
        <v>2168</v>
      </c>
      <c r="C8" s="46" t="s">
        <v>6</v>
      </c>
      <c r="D8" s="46" t="s">
        <v>18</v>
      </c>
      <c r="E8" s="46" t="s">
        <v>108</v>
      </c>
      <c r="F8" s="138"/>
      <c r="G8" s="138">
        <v>36350</v>
      </c>
      <c r="H8" s="138"/>
      <c r="I8" s="138">
        <v>36350</v>
      </c>
      <c r="J8" s="138">
        <v>743261</v>
      </c>
    </row>
    <row r="9" spans="1:10" ht="21.75" hidden="1" x14ac:dyDescent="0.55000000000000004">
      <c r="A9" s="136">
        <v>44432</v>
      </c>
      <c r="B9" s="46">
        <v>21462</v>
      </c>
      <c r="C9" s="46" t="s">
        <v>6</v>
      </c>
      <c r="D9" s="46" t="s">
        <v>18</v>
      </c>
      <c r="E9" s="46" t="s">
        <v>107</v>
      </c>
      <c r="F9" s="138"/>
      <c r="G9" s="138">
        <v>3675</v>
      </c>
      <c r="H9" s="138"/>
      <c r="I9" s="138">
        <v>3675</v>
      </c>
      <c r="J9" s="138">
        <v>746936</v>
      </c>
    </row>
    <row r="10" spans="1:10" ht="21.75" hidden="1" x14ac:dyDescent="0.55000000000000004">
      <c r="A10" s="136">
        <v>44434</v>
      </c>
      <c r="B10" s="46">
        <v>21686</v>
      </c>
      <c r="C10" s="46" t="s">
        <v>6</v>
      </c>
      <c r="D10" s="46" t="s">
        <v>18</v>
      </c>
      <c r="E10" s="46" t="s">
        <v>114</v>
      </c>
      <c r="F10" s="138"/>
      <c r="G10" s="138">
        <v>38600</v>
      </c>
      <c r="H10" s="138"/>
      <c r="I10" s="138">
        <v>38600</v>
      </c>
      <c r="J10" s="138">
        <v>785536</v>
      </c>
    </row>
    <row r="11" spans="1:10" ht="21.75" x14ac:dyDescent="0.55000000000000004">
      <c r="A11" s="136">
        <v>44409</v>
      </c>
      <c r="B11" s="46">
        <v>1</v>
      </c>
      <c r="C11" s="46" t="s">
        <v>5</v>
      </c>
      <c r="D11" s="46" t="s">
        <v>75</v>
      </c>
      <c r="E11" s="46" t="s">
        <v>5</v>
      </c>
      <c r="F11" s="138">
        <v>16740000</v>
      </c>
      <c r="G11" s="138"/>
      <c r="H11" s="138"/>
      <c r="I11" s="138">
        <v>16740000</v>
      </c>
      <c r="J11" s="138">
        <v>16740000</v>
      </c>
    </row>
    <row r="12" spans="1:10" ht="21.75" hidden="1" x14ac:dyDescent="0.55000000000000004">
      <c r="A12" s="136">
        <v>44409</v>
      </c>
      <c r="B12" s="46"/>
      <c r="C12" s="46" t="s">
        <v>5</v>
      </c>
      <c r="D12" s="46" t="s">
        <v>74</v>
      </c>
      <c r="E12" s="46" t="s">
        <v>5</v>
      </c>
      <c r="F12" s="138">
        <v>1090960</v>
      </c>
      <c r="G12" s="138"/>
      <c r="H12" s="138"/>
      <c r="I12" s="138">
        <v>1090960</v>
      </c>
      <c r="J12" s="138">
        <v>1090960</v>
      </c>
    </row>
    <row r="13" spans="1:10" ht="21.75" x14ac:dyDescent="0.55000000000000004">
      <c r="A13" s="136">
        <v>44409</v>
      </c>
      <c r="B13" s="46">
        <v>2</v>
      </c>
      <c r="C13" s="46" t="s">
        <v>5</v>
      </c>
      <c r="D13" s="46" t="s">
        <v>76</v>
      </c>
      <c r="E13" s="46" t="s">
        <v>5</v>
      </c>
      <c r="F13" s="138">
        <v>983000</v>
      </c>
      <c r="G13" s="138"/>
      <c r="H13" s="138"/>
      <c r="I13" s="138">
        <v>983000</v>
      </c>
      <c r="J13" s="138">
        <v>983000</v>
      </c>
    </row>
    <row r="14" spans="1:10" ht="21.75" hidden="1" x14ac:dyDescent="0.55000000000000004">
      <c r="A14" s="136">
        <v>44409</v>
      </c>
      <c r="B14" s="46"/>
      <c r="C14" s="46" t="s">
        <v>5</v>
      </c>
      <c r="D14" s="46" t="s">
        <v>29</v>
      </c>
      <c r="E14" s="46" t="s">
        <v>5</v>
      </c>
      <c r="F14" s="138"/>
      <c r="G14" s="138"/>
      <c r="H14" s="138"/>
      <c r="I14" s="138">
        <v>0</v>
      </c>
      <c r="J14" s="138">
        <v>0</v>
      </c>
    </row>
    <row r="15" spans="1:10" ht="21.75" hidden="1" x14ac:dyDescent="0.55000000000000004">
      <c r="A15" s="136">
        <v>44409</v>
      </c>
      <c r="B15" s="46"/>
      <c r="C15" s="46" t="s">
        <v>5</v>
      </c>
      <c r="D15" s="46" t="s">
        <v>77</v>
      </c>
      <c r="E15" s="46" t="s">
        <v>5</v>
      </c>
      <c r="F15" s="138">
        <v>1657480</v>
      </c>
      <c r="G15" s="138"/>
      <c r="H15" s="138"/>
      <c r="I15" s="138">
        <v>1657480</v>
      </c>
      <c r="J15" s="138">
        <v>1657480</v>
      </c>
    </row>
    <row r="16" spans="1:10" ht="21.75" hidden="1" x14ac:dyDescent="0.55000000000000004">
      <c r="A16" s="136">
        <v>44429</v>
      </c>
      <c r="B16" s="46">
        <v>2813</v>
      </c>
      <c r="C16" s="46" t="s">
        <v>6</v>
      </c>
      <c r="D16" s="46" t="s">
        <v>77</v>
      </c>
      <c r="E16" s="46" t="s">
        <v>103</v>
      </c>
      <c r="F16" s="138"/>
      <c r="G16" s="138">
        <v>98000</v>
      </c>
      <c r="H16" s="138"/>
      <c r="I16" s="138">
        <v>98000</v>
      </c>
      <c r="J16" s="138">
        <v>1755480</v>
      </c>
    </row>
    <row r="17" spans="1:10" ht="21.75" hidden="1" x14ac:dyDescent="0.55000000000000004">
      <c r="A17" s="136">
        <v>44409</v>
      </c>
      <c r="B17" s="46"/>
      <c r="C17" s="46" t="s">
        <v>5</v>
      </c>
      <c r="D17" s="46" t="s">
        <v>58</v>
      </c>
      <c r="E17" s="46" t="s">
        <v>5</v>
      </c>
      <c r="F17" s="138"/>
      <c r="G17" s="138"/>
      <c r="H17" s="138"/>
      <c r="I17" s="138">
        <v>0</v>
      </c>
      <c r="J17" s="138">
        <v>0</v>
      </c>
    </row>
    <row r="18" spans="1:10" ht="21.75" hidden="1" x14ac:dyDescent="0.55000000000000004">
      <c r="A18" s="136">
        <v>44429</v>
      </c>
      <c r="B18" s="46">
        <v>216066</v>
      </c>
      <c r="C18" s="46" t="s">
        <v>6</v>
      </c>
      <c r="D18" s="46" t="s">
        <v>58</v>
      </c>
      <c r="E18" s="46" t="s">
        <v>96</v>
      </c>
      <c r="F18" s="138"/>
      <c r="G18" s="138">
        <v>85480</v>
      </c>
      <c r="H18" s="138"/>
      <c r="I18" s="138">
        <v>85480</v>
      </c>
      <c r="J18" s="138">
        <v>85480</v>
      </c>
    </row>
    <row r="19" spans="1:10" ht="21.75" hidden="1" x14ac:dyDescent="0.55000000000000004">
      <c r="A19" s="136">
        <v>44429</v>
      </c>
      <c r="B19" s="46">
        <v>216068</v>
      </c>
      <c r="C19" s="46" t="s">
        <v>6</v>
      </c>
      <c r="D19" s="46" t="s">
        <v>58</v>
      </c>
      <c r="E19" s="46" t="s">
        <v>97</v>
      </c>
      <c r="F19" s="138"/>
      <c r="G19" s="138">
        <v>126600</v>
      </c>
      <c r="H19" s="138"/>
      <c r="I19" s="138">
        <v>126600</v>
      </c>
      <c r="J19" s="138">
        <v>212080</v>
      </c>
    </row>
    <row r="20" spans="1:10" ht="21.75" hidden="1" x14ac:dyDescent="0.55000000000000004">
      <c r="A20" s="136">
        <v>44429</v>
      </c>
      <c r="B20" s="46">
        <v>216070</v>
      </c>
      <c r="C20" s="46" t="s">
        <v>6</v>
      </c>
      <c r="D20" s="46" t="s">
        <v>58</v>
      </c>
      <c r="E20" s="46" t="s">
        <v>98</v>
      </c>
      <c r="F20" s="138"/>
      <c r="G20" s="138">
        <v>84900</v>
      </c>
      <c r="H20" s="138"/>
      <c r="I20" s="138">
        <v>84900</v>
      </c>
      <c r="J20" s="138">
        <v>296980</v>
      </c>
    </row>
    <row r="21" spans="1:10" ht="21.75" hidden="1" x14ac:dyDescent="0.55000000000000004">
      <c r="A21" s="136">
        <v>44429</v>
      </c>
      <c r="B21" s="46">
        <v>217010</v>
      </c>
      <c r="C21" s="46" t="s">
        <v>6</v>
      </c>
      <c r="D21" s="46" t="s">
        <v>58</v>
      </c>
      <c r="E21" s="46" t="s">
        <v>99</v>
      </c>
      <c r="F21" s="138"/>
      <c r="G21" s="138">
        <v>114000</v>
      </c>
      <c r="H21" s="138"/>
      <c r="I21" s="138">
        <v>114000</v>
      </c>
      <c r="J21" s="138">
        <v>410980</v>
      </c>
    </row>
    <row r="22" spans="1:10" ht="21.75" hidden="1" x14ac:dyDescent="0.55000000000000004">
      <c r="A22" s="136">
        <v>44429</v>
      </c>
      <c r="B22" s="46">
        <v>217023</v>
      </c>
      <c r="C22" s="46" t="s">
        <v>6</v>
      </c>
      <c r="D22" s="46" t="s">
        <v>58</v>
      </c>
      <c r="E22" s="46" t="s">
        <v>100</v>
      </c>
      <c r="F22" s="138"/>
      <c r="G22" s="138">
        <v>61000</v>
      </c>
      <c r="H22" s="138"/>
      <c r="I22" s="138">
        <v>61000</v>
      </c>
      <c r="J22" s="138">
        <v>471980</v>
      </c>
    </row>
    <row r="23" spans="1:10" ht="21.75" hidden="1" x14ac:dyDescent="0.55000000000000004">
      <c r="A23" s="136">
        <v>44429</v>
      </c>
      <c r="B23" s="46">
        <v>217025</v>
      </c>
      <c r="C23" s="46" t="s">
        <v>6</v>
      </c>
      <c r="D23" s="46" t="s">
        <v>58</v>
      </c>
      <c r="E23" s="46" t="s">
        <v>101</v>
      </c>
      <c r="F23" s="138"/>
      <c r="G23" s="138">
        <v>65800</v>
      </c>
      <c r="H23" s="138"/>
      <c r="I23" s="138">
        <v>65800</v>
      </c>
      <c r="J23" s="138">
        <v>537780</v>
      </c>
    </row>
    <row r="24" spans="1:10" ht="21.75" hidden="1" x14ac:dyDescent="0.55000000000000004">
      <c r="A24" s="136">
        <v>44425</v>
      </c>
      <c r="B24" s="46">
        <v>321832</v>
      </c>
      <c r="C24" s="46" t="s">
        <v>6</v>
      </c>
      <c r="D24" s="46" t="s">
        <v>58</v>
      </c>
      <c r="E24" s="46" t="s">
        <v>102</v>
      </c>
      <c r="F24" s="138"/>
      <c r="G24" s="138">
        <v>144600</v>
      </c>
      <c r="H24" s="138"/>
      <c r="I24" s="138">
        <v>144600</v>
      </c>
      <c r="J24" s="138">
        <v>682380</v>
      </c>
    </row>
    <row r="25" spans="1:10" ht="21.75" hidden="1" x14ac:dyDescent="0.55000000000000004">
      <c r="A25" s="136">
        <v>44409</v>
      </c>
      <c r="B25" s="46"/>
      <c r="C25" s="46" t="s">
        <v>5</v>
      </c>
      <c r="D25" s="46" t="s">
        <v>42</v>
      </c>
      <c r="E25" s="46" t="s">
        <v>5</v>
      </c>
      <c r="F25" s="138">
        <v>0</v>
      </c>
      <c r="G25" s="138"/>
      <c r="H25" s="138"/>
      <c r="I25" s="138">
        <v>0</v>
      </c>
      <c r="J25" s="138">
        <v>0</v>
      </c>
    </row>
    <row r="26" spans="1:10" ht="21.75" hidden="1" x14ac:dyDescent="0.55000000000000004">
      <c r="A26" s="136">
        <v>44409</v>
      </c>
      <c r="B26" s="46"/>
      <c r="C26" s="46" t="s">
        <v>5</v>
      </c>
      <c r="D26" s="46" t="s">
        <v>78</v>
      </c>
      <c r="E26" s="46" t="s">
        <v>5</v>
      </c>
      <c r="F26" s="138">
        <v>0</v>
      </c>
      <c r="G26" s="138"/>
      <c r="H26" s="138"/>
      <c r="I26" s="138">
        <v>0</v>
      </c>
      <c r="J26" s="138">
        <v>0</v>
      </c>
    </row>
    <row r="27" spans="1:10" ht="21.75" hidden="1" x14ac:dyDescent="0.55000000000000004">
      <c r="A27" s="136">
        <v>44409</v>
      </c>
      <c r="B27" s="46"/>
      <c r="C27" s="46" t="s">
        <v>5</v>
      </c>
      <c r="D27" s="46" t="s">
        <v>44</v>
      </c>
      <c r="E27" s="46" t="s">
        <v>5</v>
      </c>
      <c r="F27" s="138">
        <v>2208992</v>
      </c>
      <c r="G27" s="138"/>
      <c r="H27" s="138"/>
      <c r="I27" s="138">
        <v>2208992</v>
      </c>
      <c r="J27" s="138">
        <v>2208992</v>
      </c>
    </row>
    <row r="28" spans="1:10" ht="21.75" hidden="1" x14ac:dyDescent="0.55000000000000004">
      <c r="A28" s="136">
        <v>44409</v>
      </c>
      <c r="B28" s="46"/>
      <c r="C28" s="46" t="s">
        <v>5</v>
      </c>
      <c r="D28" s="46" t="s">
        <v>79</v>
      </c>
      <c r="E28" s="46" t="s">
        <v>5</v>
      </c>
      <c r="F28" s="138">
        <v>837010</v>
      </c>
      <c r="G28" s="138"/>
      <c r="H28" s="138"/>
      <c r="I28" s="138">
        <v>837010</v>
      </c>
      <c r="J28" s="138">
        <v>837010</v>
      </c>
    </row>
    <row r="29" spans="1:10" ht="21.75" hidden="1" x14ac:dyDescent="0.55000000000000004">
      <c r="A29" s="136">
        <v>44433</v>
      </c>
      <c r="B29" s="46">
        <v>222</v>
      </c>
      <c r="C29" s="46" t="s">
        <v>7</v>
      </c>
      <c r="D29" s="46" t="s">
        <v>79</v>
      </c>
      <c r="E29" s="46" t="s">
        <v>106</v>
      </c>
      <c r="F29" s="138"/>
      <c r="G29" s="138"/>
      <c r="H29" s="138">
        <v>837000</v>
      </c>
      <c r="I29" s="138">
        <v>-837000</v>
      </c>
      <c r="J29" s="138">
        <v>10</v>
      </c>
    </row>
    <row r="30" spans="1:10" ht="21.75" hidden="1" x14ac:dyDescent="0.55000000000000004">
      <c r="A30" s="136">
        <v>44409</v>
      </c>
      <c r="B30" s="46"/>
      <c r="C30" s="46" t="s">
        <v>5</v>
      </c>
      <c r="D30" s="46" t="s">
        <v>80</v>
      </c>
      <c r="E30" s="46" t="s">
        <v>5</v>
      </c>
      <c r="F30" s="138">
        <v>188580</v>
      </c>
      <c r="G30" s="138"/>
      <c r="H30" s="138"/>
      <c r="I30" s="138">
        <v>188580</v>
      </c>
      <c r="J30" s="138">
        <v>188580</v>
      </c>
    </row>
    <row r="31" spans="1:10" ht="21.75" hidden="1" x14ac:dyDescent="0.55000000000000004">
      <c r="A31" s="136">
        <v>44439</v>
      </c>
      <c r="B31" s="46">
        <v>1079</v>
      </c>
      <c r="C31" s="46" t="s">
        <v>7</v>
      </c>
      <c r="D31" s="46" t="s">
        <v>80</v>
      </c>
      <c r="E31" s="46" t="s">
        <v>118</v>
      </c>
      <c r="F31" s="138"/>
      <c r="G31" s="138"/>
      <c r="H31" s="138">
        <v>188580</v>
      </c>
      <c r="I31" s="138">
        <v>-188580</v>
      </c>
      <c r="J31" s="138">
        <v>0</v>
      </c>
    </row>
    <row r="32" spans="1:10" ht="21.75" hidden="1" x14ac:dyDescent="0.55000000000000004">
      <c r="A32" s="136">
        <v>44409</v>
      </c>
      <c r="B32" s="46"/>
      <c r="C32" s="46" t="s">
        <v>5</v>
      </c>
      <c r="D32" s="46" t="s">
        <v>48</v>
      </c>
      <c r="E32" s="46" t="s">
        <v>5</v>
      </c>
      <c r="F32" s="138">
        <v>1342500</v>
      </c>
      <c r="G32" s="138"/>
      <c r="H32" s="138"/>
      <c r="I32" s="138">
        <v>1342500</v>
      </c>
      <c r="J32" s="138">
        <v>1342500</v>
      </c>
    </row>
    <row r="33" spans="1:10" ht="21.75" hidden="1" x14ac:dyDescent="0.55000000000000004">
      <c r="A33" s="136">
        <v>44428</v>
      </c>
      <c r="B33" s="46">
        <v>80203</v>
      </c>
      <c r="C33" s="46" t="s">
        <v>6</v>
      </c>
      <c r="D33" s="46" t="s">
        <v>48</v>
      </c>
      <c r="E33" s="46" t="s">
        <v>104</v>
      </c>
      <c r="F33" s="138"/>
      <c r="G33" s="138">
        <v>374000</v>
      </c>
      <c r="H33" s="138"/>
      <c r="I33" s="138">
        <v>374000</v>
      </c>
      <c r="J33" s="138">
        <v>1716500</v>
      </c>
    </row>
    <row r="34" spans="1:10" ht="21.75" hidden="1" x14ac:dyDescent="0.55000000000000004">
      <c r="A34" s="136">
        <v>44433</v>
      </c>
      <c r="B34" s="46">
        <v>881</v>
      </c>
      <c r="C34" s="46" t="s">
        <v>7</v>
      </c>
      <c r="D34" s="46" t="s">
        <v>48</v>
      </c>
      <c r="E34" s="46" t="s">
        <v>106</v>
      </c>
      <c r="F34" s="138"/>
      <c r="G34" s="138"/>
      <c r="H34" s="138">
        <v>1000000</v>
      </c>
      <c r="I34" s="138">
        <v>-1000000</v>
      </c>
      <c r="J34" s="138">
        <v>716500</v>
      </c>
    </row>
    <row r="35" spans="1:10" ht="21.75" hidden="1" x14ac:dyDescent="0.55000000000000004">
      <c r="A35" s="136">
        <v>44434</v>
      </c>
      <c r="B35" s="46">
        <v>878</v>
      </c>
      <c r="C35" s="46" t="s">
        <v>6</v>
      </c>
      <c r="D35" s="46" t="s">
        <v>48</v>
      </c>
      <c r="E35" s="46" t="s">
        <v>111</v>
      </c>
      <c r="F35" s="138"/>
      <c r="G35" s="138">
        <v>280000</v>
      </c>
      <c r="H35" s="138"/>
      <c r="I35" s="138">
        <v>280000</v>
      </c>
      <c r="J35" s="138">
        <v>996500</v>
      </c>
    </row>
    <row r="36" spans="1:10" ht="21.75" hidden="1" x14ac:dyDescent="0.55000000000000004">
      <c r="A36" s="136">
        <v>44432</v>
      </c>
      <c r="B36" s="46">
        <v>850</v>
      </c>
      <c r="C36" s="46" t="s">
        <v>6</v>
      </c>
      <c r="D36" s="46" t="s">
        <v>48</v>
      </c>
      <c r="E36" s="46" t="s">
        <v>112</v>
      </c>
      <c r="F36" s="138"/>
      <c r="G36" s="138">
        <v>110000</v>
      </c>
      <c r="H36" s="138"/>
      <c r="I36" s="138">
        <v>110000</v>
      </c>
      <c r="J36" s="138">
        <v>1106500</v>
      </c>
    </row>
    <row r="37" spans="1:10" ht="21.75" hidden="1" x14ac:dyDescent="0.55000000000000004">
      <c r="A37" s="136">
        <v>44432</v>
      </c>
      <c r="B37" s="46">
        <v>849</v>
      </c>
      <c r="C37" s="46" t="s">
        <v>6</v>
      </c>
      <c r="D37" s="46" t="s">
        <v>48</v>
      </c>
      <c r="E37" s="46" t="s">
        <v>112</v>
      </c>
      <c r="F37" s="138"/>
      <c r="G37" s="138">
        <v>110000</v>
      </c>
      <c r="H37" s="138"/>
      <c r="I37" s="138">
        <v>110000</v>
      </c>
      <c r="J37" s="138">
        <v>1216500</v>
      </c>
    </row>
    <row r="38" spans="1:10" ht="21.75" hidden="1" x14ac:dyDescent="0.55000000000000004">
      <c r="A38" s="136">
        <v>44435</v>
      </c>
      <c r="B38" s="46">
        <v>2503</v>
      </c>
      <c r="C38" s="46" t="s">
        <v>6</v>
      </c>
      <c r="D38" s="46" t="s">
        <v>48</v>
      </c>
      <c r="E38" s="46" t="s">
        <v>117</v>
      </c>
      <c r="F38" s="138"/>
      <c r="G38" s="138">
        <v>95000</v>
      </c>
      <c r="H38" s="138"/>
      <c r="I38" s="138">
        <v>95000</v>
      </c>
      <c r="J38" s="138">
        <v>1311500</v>
      </c>
    </row>
    <row r="39" spans="1:10" ht="21.75" hidden="1" x14ac:dyDescent="0.55000000000000004">
      <c r="A39" s="136">
        <v>44409</v>
      </c>
      <c r="B39" s="46"/>
      <c r="C39" s="46" t="s">
        <v>5</v>
      </c>
      <c r="D39" s="46" t="s">
        <v>50</v>
      </c>
      <c r="E39" s="46" t="s">
        <v>5</v>
      </c>
      <c r="F39" s="138"/>
      <c r="G39" s="138"/>
      <c r="H39" s="138"/>
      <c r="I39" s="138">
        <v>0</v>
      </c>
      <c r="J39" s="138">
        <v>0</v>
      </c>
    </row>
    <row r="40" spans="1:10" ht="21.75" hidden="1" x14ac:dyDescent="0.55000000000000004">
      <c r="A40" s="136">
        <v>44409</v>
      </c>
      <c r="B40" s="46"/>
      <c r="C40" s="46" t="s">
        <v>5</v>
      </c>
      <c r="D40" s="46" t="s">
        <v>65</v>
      </c>
      <c r="E40" s="46" t="s">
        <v>5</v>
      </c>
      <c r="F40" s="138">
        <v>0</v>
      </c>
      <c r="G40" s="138"/>
      <c r="H40" s="138"/>
      <c r="I40" s="138">
        <v>0</v>
      </c>
      <c r="J40" s="138">
        <v>0</v>
      </c>
    </row>
    <row r="41" spans="1:10" ht="21.75" hidden="1" x14ac:dyDescent="0.55000000000000004">
      <c r="A41" s="136">
        <v>44409</v>
      </c>
      <c r="B41" s="46"/>
      <c r="C41" s="46" t="s">
        <v>5</v>
      </c>
      <c r="D41" s="46" t="s">
        <v>81</v>
      </c>
      <c r="E41" s="46" t="s">
        <v>5</v>
      </c>
      <c r="F41" s="138">
        <v>0</v>
      </c>
      <c r="G41" s="138"/>
      <c r="H41" s="138"/>
      <c r="I41" s="138">
        <v>0</v>
      </c>
      <c r="J41" s="138">
        <v>0</v>
      </c>
    </row>
    <row r="42" spans="1:10" ht="21.75" hidden="1" x14ac:dyDescent="0.55000000000000004">
      <c r="A42" s="136">
        <v>44378</v>
      </c>
      <c r="B42" s="46"/>
      <c r="C42" s="46" t="s">
        <v>5</v>
      </c>
      <c r="D42" s="46" t="s">
        <v>82</v>
      </c>
      <c r="E42" s="46" t="s">
        <v>5</v>
      </c>
      <c r="F42" s="138">
        <v>143000</v>
      </c>
      <c r="G42" s="138"/>
      <c r="H42" s="138"/>
      <c r="I42" s="138">
        <v>143000</v>
      </c>
      <c r="J42" s="138">
        <v>143000</v>
      </c>
    </row>
    <row r="43" spans="1:10" ht="21.75" hidden="1" x14ac:dyDescent="0.55000000000000004">
      <c r="A43" s="136">
        <v>44409</v>
      </c>
      <c r="B43" s="46"/>
      <c r="C43" s="46" t="s">
        <v>5</v>
      </c>
      <c r="D43" s="46" t="s">
        <v>56</v>
      </c>
      <c r="E43" s="46" t="s">
        <v>5</v>
      </c>
      <c r="F43" s="138">
        <v>689502</v>
      </c>
      <c r="G43" s="138"/>
      <c r="H43" s="138"/>
      <c r="I43" s="138">
        <v>689502</v>
      </c>
      <c r="J43" s="138">
        <v>689502</v>
      </c>
    </row>
    <row r="44" spans="1:10" ht="21.75" hidden="1" x14ac:dyDescent="0.55000000000000004">
      <c r="A44" s="136">
        <v>44428</v>
      </c>
      <c r="B44" s="46">
        <v>155213</v>
      </c>
      <c r="C44" s="46" t="s">
        <v>6</v>
      </c>
      <c r="D44" s="46" t="s">
        <v>56</v>
      </c>
      <c r="E44" s="46" t="s">
        <v>105</v>
      </c>
      <c r="F44" s="138"/>
      <c r="G44" s="138">
        <v>343594</v>
      </c>
      <c r="H44" s="138"/>
      <c r="I44" s="138">
        <v>343594</v>
      </c>
      <c r="J44" s="138">
        <v>1033096</v>
      </c>
    </row>
    <row r="45" spans="1:10" ht="21.75" hidden="1" x14ac:dyDescent="0.55000000000000004">
      <c r="A45" s="136">
        <v>44433</v>
      </c>
      <c r="B45" s="46">
        <v>265211</v>
      </c>
      <c r="C45" s="46" t="s">
        <v>7</v>
      </c>
      <c r="D45" s="46" t="s">
        <v>56</v>
      </c>
      <c r="E45" s="46" t="s">
        <v>106</v>
      </c>
      <c r="F45" s="138"/>
      <c r="G45" s="138"/>
      <c r="H45" s="138">
        <v>1000000</v>
      </c>
      <c r="I45" s="138">
        <v>-1000000</v>
      </c>
      <c r="J45" s="138">
        <v>33096</v>
      </c>
    </row>
    <row r="46" spans="1:10" ht="21.75" hidden="1" x14ac:dyDescent="0.55000000000000004">
      <c r="A46" s="136">
        <v>44433</v>
      </c>
      <c r="B46" s="46">
        <v>659211</v>
      </c>
      <c r="C46" s="46" t="s">
        <v>6</v>
      </c>
      <c r="D46" s="46" t="s">
        <v>56</v>
      </c>
      <c r="E46" s="46" t="s">
        <v>109</v>
      </c>
      <c r="F46" s="138"/>
      <c r="G46" s="138">
        <v>181196</v>
      </c>
      <c r="H46" s="138"/>
      <c r="I46" s="138">
        <v>181196</v>
      </c>
      <c r="J46" s="138">
        <v>214292</v>
      </c>
    </row>
    <row r="47" spans="1:10" ht="21.75" hidden="1" x14ac:dyDescent="0.55000000000000004">
      <c r="A47" s="136">
        <v>44432</v>
      </c>
      <c r="B47" s="46">
        <v>652211</v>
      </c>
      <c r="C47" s="46" t="s">
        <v>6</v>
      </c>
      <c r="D47" s="46" t="s">
        <v>56</v>
      </c>
      <c r="E47" s="46" t="s">
        <v>110</v>
      </c>
      <c r="F47" s="138"/>
      <c r="G47" s="138">
        <v>315750</v>
      </c>
      <c r="H47" s="138"/>
      <c r="I47" s="138">
        <v>315750</v>
      </c>
      <c r="J47" s="138">
        <v>530042</v>
      </c>
    </row>
    <row r="48" spans="1:10" ht="21.75" hidden="1" x14ac:dyDescent="0.55000000000000004">
      <c r="A48" s="136">
        <v>44434</v>
      </c>
      <c r="B48" s="46"/>
      <c r="C48" s="46" t="s">
        <v>6</v>
      </c>
      <c r="D48" s="46" t="s">
        <v>56</v>
      </c>
      <c r="E48" s="46" t="s">
        <v>115</v>
      </c>
      <c r="F48" s="138"/>
      <c r="G48" s="138">
        <v>14958</v>
      </c>
      <c r="H48" s="138"/>
      <c r="I48" s="138">
        <v>14958</v>
      </c>
      <c r="J48" s="138">
        <v>545000</v>
      </c>
    </row>
    <row r="49" spans="1:10" ht="21.75" hidden="1" x14ac:dyDescent="0.55000000000000004">
      <c r="A49" s="136">
        <v>44436</v>
      </c>
      <c r="B49" s="46">
        <v>162213</v>
      </c>
      <c r="C49" s="46" t="s">
        <v>6</v>
      </c>
      <c r="D49" s="46" t="s">
        <v>56</v>
      </c>
      <c r="E49" s="46" t="s">
        <v>116</v>
      </c>
      <c r="F49" s="138"/>
      <c r="G49" s="138">
        <v>96363</v>
      </c>
      <c r="H49" s="138"/>
      <c r="I49" s="138">
        <v>96363</v>
      </c>
      <c r="J49" s="138">
        <v>641363</v>
      </c>
    </row>
    <row r="50" spans="1:10" ht="21.75" hidden="1" x14ac:dyDescent="0.55000000000000004">
      <c r="A50" s="136"/>
      <c r="B50" s="46"/>
      <c r="C50" s="46"/>
      <c r="D50" s="46"/>
      <c r="E50" s="46"/>
      <c r="F50" s="138"/>
      <c r="G50" s="138"/>
      <c r="H50" s="138"/>
      <c r="I50" s="138"/>
      <c r="J50" s="138"/>
    </row>
    <row r="51" spans="1:10" ht="21.75" hidden="1" x14ac:dyDescent="0.55000000000000004">
      <c r="A51" s="136"/>
      <c r="B51" s="46"/>
      <c r="C51" s="46"/>
      <c r="D51" s="46"/>
      <c r="E51" s="46"/>
      <c r="F51" s="138"/>
      <c r="G51" s="138"/>
      <c r="H51" s="138"/>
      <c r="I51" s="138"/>
      <c r="J51" s="138"/>
    </row>
    <row r="52" spans="1:10" ht="21.75" hidden="1" x14ac:dyDescent="0.55000000000000004">
      <c r="A52" s="136"/>
      <c r="B52" s="46"/>
      <c r="C52" s="46"/>
      <c r="D52" s="46"/>
      <c r="E52" s="46"/>
      <c r="F52" s="138"/>
      <c r="G52" s="138"/>
      <c r="H52" s="138"/>
      <c r="I52" s="138"/>
      <c r="J52" s="138"/>
    </row>
    <row r="53" spans="1:10" ht="21.75" hidden="1" x14ac:dyDescent="0.55000000000000004">
      <c r="A53" s="136"/>
      <c r="B53" s="46"/>
      <c r="C53" s="46"/>
      <c r="D53" s="46"/>
      <c r="E53" s="46"/>
      <c r="F53" s="138"/>
      <c r="G53" s="138"/>
      <c r="H53" s="138"/>
      <c r="I53" s="138"/>
      <c r="J53" s="138"/>
    </row>
    <row r="54" spans="1:10" ht="21.75" hidden="1" x14ac:dyDescent="0.55000000000000004">
      <c r="A54" s="136"/>
      <c r="B54" s="46"/>
      <c r="C54" s="46"/>
      <c r="D54" s="46"/>
      <c r="E54" s="46"/>
      <c r="F54" s="138"/>
      <c r="G54" s="138"/>
      <c r="H54" s="138"/>
      <c r="I54" s="138"/>
      <c r="J54" s="138"/>
    </row>
    <row r="55" spans="1:10" ht="21.75" hidden="1" x14ac:dyDescent="0.55000000000000004">
      <c r="A55" s="136"/>
      <c r="B55" s="46"/>
      <c r="C55" s="46"/>
      <c r="D55" s="46"/>
      <c r="E55" s="46"/>
      <c r="F55" s="138"/>
      <c r="G55" s="138"/>
      <c r="H55" s="138"/>
      <c r="I55" s="138"/>
      <c r="J55" s="138"/>
    </row>
    <row r="56" spans="1:10" ht="21.75" hidden="1" x14ac:dyDescent="0.55000000000000004">
      <c r="A56" s="136"/>
      <c r="B56" s="46"/>
      <c r="C56" s="46"/>
      <c r="D56" s="46"/>
      <c r="E56" s="46"/>
      <c r="F56" s="138"/>
      <c r="G56" s="138"/>
      <c r="H56" s="138"/>
      <c r="I56" s="138"/>
      <c r="J56" s="138"/>
    </row>
    <row r="57" spans="1:10" ht="21.75" hidden="1" x14ac:dyDescent="0.55000000000000004">
      <c r="A57" s="136"/>
      <c r="B57" s="46"/>
      <c r="C57" s="46"/>
      <c r="D57" s="46"/>
      <c r="E57" s="46"/>
      <c r="F57" s="138"/>
      <c r="G57" s="138"/>
      <c r="H57" s="138"/>
      <c r="I57" s="138"/>
      <c r="J57" s="138"/>
    </row>
    <row r="58" spans="1:10" ht="21.75" hidden="1" x14ac:dyDescent="0.55000000000000004">
      <c r="A58" s="136"/>
      <c r="B58" s="46"/>
      <c r="C58" s="46"/>
      <c r="D58" s="46"/>
      <c r="E58" s="46"/>
      <c r="F58" s="138"/>
      <c r="G58" s="138"/>
      <c r="H58" s="138"/>
      <c r="I58" s="138"/>
      <c r="J58" s="138"/>
    </row>
    <row r="59" spans="1:10" ht="21.75" hidden="1" x14ac:dyDescent="0.55000000000000004">
      <c r="A59" s="136"/>
      <c r="B59" s="46"/>
      <c r="C59" s="46"/>
      <c r="D59" s="46"/>
      <c r="E59" s="46"/>
      <c r="F59" s="138"/>
      <c r="G59" s="138"/>
      <c r="H59" s="138"/>
      <c r="I59" s="138"/>
      <c r="J59" s="138"/>
    </row>
    <row r="60" spans="1:10" ht="21.75" hidden="1" x14ac:dyDescent="0.55000000000000004">
      <c r="A60" s="136"/>
      <c r="B60" s="46"/>
      <c r="C60" s="46"/>
      <c r="D60" s="46"/>
      <c r="E60" s="46"/>
      <c r="F60" s="138"/>
      <c r="G60" s="138"/>
      <c r="H60" s="138"/>
      <c r="I60" s="138"/>
      <c r="J60" s="138"/>
    </row>
    <row r="61" spans="1:10" ht="21.75" hidden="1" x14ac:dyDescent="0.55000000000000004">
      <c r="A61" s="136"/>
      <c r="B61" s="46"/>
      <c r="C61" s="46"/>
      <c r="D61" s="46"/>
      <c r="E61" s="46"/>
      <c r="F61" s="138"/>
      <c r="G61" s="138"/>
      <c r="H61" s="138"/>
      <c r="I61" s="138"/>
      <c r="J61" s="138"/>
    </row>
    <row r="62" spans="1:10" ht="21.75" hidden="1" x14ac:dyDescent="0.55000000000000004">
      <c r="A62" s="136"/>
      <c r="B62" s="46"/>
      <c r="C62" s="46"/>
      <c r="D62" s="46"/>
      <c r="E62" s="46"/>
      <c r="F62" s="138"/>
      <c r="G62" s="138"/>
      <c r="H62" s="138"/>
      <c r="I62" s="138"/>
      <c r="J62" s="138"/>
    </row>
    <row r="63" spans="1:10" ht="21.75" hidden="1" x14ac:dyDescent="0.55000000000000004">
      <c r="A63" s="136"/>
      <c r="B63" s="46"/>
      <c r="C63" s="46"/>
      <c r="D63" s="46"/>
      <c r="E63" s="46"/>
      <c r="F63" s="138"/>
      <c r="G63" s="138"/>
      <c r="H63" s="138"/>
      <c r="I63" s="138"/>
      <c r="J63" s="138"/>
    </row>
    <row r="64" spans="1:10" ht="21.75" hidden="1" x14ac:dyDescent="0.55000000000000004">
      <c r="A64" s="136"/>
      <c r="B64" s="46"/>
      <c r="C64" s="46"/>
      <c r="D64" s="46"/>
      <c r="E64" s="46"/>
      <c r="F64" s="138"/>
      <c r="G64" s="138"/>
      <c r="H64" s="138"/>
      <c r="I64" s="138"/>
      <c r="J64" s="138"/>
    </row>
    <row r="65" spans="1:10" ht="21.75" hidden="1" x14ac:dyDescent="0.55000000000000004">
      <c r="A65" s="136"/>
      <c r="B65" s="46"/>
      <c r="C65" s="46"/>
      <c r="D65" s="46"/>
      <c r="E65" s="46"/>
      <c r="F65" s="138"/>
      <c r="G65" s="138"/>
      <c r="H65" s="138"/>
      <c r="I65" s="138"/>
      <c r="J65" s="138"/>
    </row>
    <row r="66" spans="1:10" ht="21.75" hidden="1" x14ac:dyDescent="0.55000000000000004">
      <c r="A66" s="136"/>
      <c r="B66" s="46"/>
      <c r="C66" s="46"/>
      <c r="D66" s="46"/>
      <c r="E66" s="46"/>
      <c r="F66" s="138"/>
      <c r="G66" s="138"/>
      <c r="H66" s="138"/>
      <c r="I66" s="138"/>
      <c r="J66" s="138"/>
    </row>
    <row r="67" spans="1:10" ht="21.75" hidden="1" x14ac:dyDescent="0.55000000000000004">
      <c r="A67" s="136"/>
      <c r="B67" s="46"/>
      <c r="C67" s="46"/>
      <c r="D67" s="46"/>
      <c r="E67" s="46"/>
      <c r="F67" s="138"/>
      <c r="G67" s="138"/>
      <c r="H67" s="138"/>
      <c r="I67" s="138"/>
      <c r="J67" s="138"/>
    </row>
    <row r="68" spans="1:10" ht="21.75" hidden="1" x14ac:dyDescent="0.55000000000000004">
      <c r="A68" s="136"/>
      <c r="B68" s="46"/>
      <c r="C68" s="46"/>
      <c r="D68" s="46"/>
      <c r="E68" s="46"/>
      <c r="F68" s="138"/>
      <c r="G68" s="138"/>
      <c r="H68" s="138"/>
      <c r="I68" s="138"/>
      <c r="J68" s="138"/>
    </row>
    <row r="69" spans="1:10" ht="21.75" hidden="1" x14ac:dyDescent="0.55000000000000004">
      <c r="A69" s="136"/>
      <c r="B69" s="46"/>
      <c r="C69" s="46"/>
      <c r="D69" s="46"/>
      <c r="E69" s="46"/>
      <c r="F69" s="138"/>
      <c r="G69" s="138"/>
      <c r="H69" s="138"/>
      <c r="I69" s="138"/>
      <c r="J69" s="138"/>
    </row>
    <row r="70" spans="1:10" ht="21.75" hidden="1" x14ac:dyDescent="0.55000000000000004">
      <c r="A70" s="136"/>
      <c r="B70" s="46"/>
      <c r="C70" s="46"/>
      <c r="D70" s="46"/>
      <c r="E70" s="46"/>
      <c r="F70" s="138"/>
      <c r="G70" s="138"/>
      <c r="H70" s="138"/>
      <c r="I70" s="138"/>
      <c r="J70" s="138"/>
    </row>
    <row r="71" spans="1:10" ht="21.75" hidden="1" x14ac:dyDescent="0.55000000000000004">
      <c r="A71" s="136"/>
      <c r="B71" s="46"/>
      <c r="C71" s="46"/>
      <c r="D71" s="46"/>
      <c r="E71" s="46"/>
      <c r="F71" s="138"/>
      <c r="G71" s="138"/>
      <c r="H71" s="138"/>
      <c r="I71" s="138"/>
      <c r="J71" s="138"/>
    </row>
    <row r="72" spans="1:10" ht="21.75" hidden="1" x14ac:dyDescent="0.55000000000000004">
      <c r="A72" s="136"/>
      <c r="B72" s="46"/>
      <c r="C72" s="46"/>
      <c r="D72" s="46"/>
      <c r="E72" s="46"/>
      <c r="F72" s="138"/>
      <c r="G72" s="138"/>
      <c r="H72" s="138"/>
      <c r="I72" s="138"/>
      <c r="J72" s="138"/>
    </row>
    <row r="73" spans="1:10" ht="21.75" hidden="1" x14ac:dyDescent="0.55000000000000004">
      <c r="A73" s="136"/>
      <c r="B73" s="46"/>
      <c r="C73" s="46"/>
      <c r="D73" s="46"/>
      <c r="E73" s="46"/>
      <c r="F73" s="138"/>
      <c r="G73" s="138"/>
      <c r="H73" s="138"/>
      <c r="I73" s="138"/>
      <c r="J73" s="138"/>
    </row>
    <row r="74" spans="1:10" ht="21.75" hidden="1" x14ac:dyDescent="0.55000000000000004">
      <c r="A74" s="136"/>
      <c r="B74" s="46"/>
      <c r="C74" s="46"/>
      <c r="D74" s="46"/>
      <c r="E74" s="46"/>
      <c r="F74" s="138"/>
      <c r="G74" s="138"/>
      <c r="H74" s="138"/>
      <c r="I74" s="138"/>
      <c r="J74" s="138"/>
    </row>
    <row r="75" spans="1:10" ht="21.75" hidden="1" x14ac:dyDescent="0.55000000000000004">
      <c r="A75" s="136"/>
      <c r="B75" s="46"/>
      <c r="C75" s="46"/>
      <c r="D75" s="46"/>
      <c r="E75" s="46"/>
      <c r="F75" s="138"/>
      <c r="G75" s="138"/>
      <c r="H75" s="138"/>
      <c r="I75" s="138"/>
      <c r="J75" s="138"/>
    </row>
    <row r="76" spans="1:10" ht="21.75" hidden="1" x14ac:dyDescent="0.55000000000000004">
      <c r="A76" s="136"/>
      <c r="B76" s="46"/>
      <c r="C76" s="46"/>
      <c r="D76" s="46"/>
      <c r="E76" s="46"/>
      <c r="F76" s="138"/>
      <c r="G76" s="138"/>
      <c r="H76" s="138"/>
      <c r="I76" s="138"/>
      <c r="J76" s="138"/>
    </row>
    <row r="77" spans="1:10" ht="21.75" hidden="1" x14ac:dyDescent="0.55000000000000004">
      <c r="A77" s="136"/>
      <c r="B77" s="46"/>
      <c r="C77" s="46"/>
      <c r="D77" s="46"/>
      <c r="E77" s="46"/>
      <c r="F77" s="138"/>
      <c r="G77" s="138"/>
      <c r="H77" s="138"/>
      <c r="I77" s="138"/>
      <c r="J77" s="138"/>
    </row>
    <row r="78" spans="1:10" ht="21.75" hidden="1" x14ac:dyDescent="0.55000000000000004">
      <c r="A78" s="136"/>
      <c r="B78" s="46"/>
      <c r="C78" s="46"/>
      <c r="D78" s="46"/>
      <c r="E78" s="46"/>
      <c r="F78" s="138"/>
      <c r="G78" s="138"/>
      <c r="H78" s="138"/>
      <c r="I78" s="138"/>
      <c r="J78" s="138"/>
    </row>
    <row r="79" spans="1:10" ht="21.75" hidden="1" x14ac:dyDescent="0.55000000000000004">
      <c r="A79" s="136"/>
      <c r="B79" s="46"/>
      <c r="C79" s="46"/>
      <c r="D79" s="46"/>
      <c r="E79" s="46"/>
      <c r="F79" s="138"/>
      <c r="G79" s="138"/>
      <c r="H79" s="138"/>
      <c r="I79" s="138"/>
      <c r="J79" s="138"/>
    </row>
    <row r="80" spans="1:10" ht="21.75" hidden="1" x14ac:dyDescent="0.55000000000000004">
      <c r="A80" s="136"/>
      <c r="B80" s="46"/>
      <c r="C80" s="46"/>
      <c r="D80" s="46"/>
      <c r="E80" s="46"/>
      <c r="F80" s="138"/>
      <c r="G80" s="138"/>
      <c r="H80" s="138"/>
      <c r="I80" s="138"/>
      <c r="J80" s="138"/>
    </row>
    <row r="81" spans="1:10" ht="21.75" hidden="1" x14ac:dyDescent="0.55000000000000004">
      <c r="A81" s="136"/>
      <c r="B81" s="46"/>
      <c r="C81" s="46"/>
      <c r="D81" s="46"/>
      <c r="E81" s="46"/>
      <c r="F81" s="138"/>
      <c r="G81" s="138"/>
      <c r="H81" s="138"/>
      <c r="I81" s="138"/>
      <c r="J81" s="138"/>
    </row>
    <row r="82" spans="1:10" ht="21.75" hidden="1" x14ac:dyDescent="0.55000000000000004">
      <c r="A82" s="136"/>
      <c r="B82" s="46"/>
      <c r="C82" s="46"/>
      <c r="D82" s="46"/>
      <c r="E82" s="46"/>
      <c r="F82" s="138"/>
      <c r="G82" s="138"/>
      <c r="H82" s="138"/>
      <c r="I82" s="138"/>
      <c r="J82" s="138"/>
    </row>
    <row r="83" spans="1:10" ht="21.75" hidden="1" x14ac:dyDescent="0.55000000000000004">
      <c r="A83" s="136"/>
      <c r="B83" s="46"/>
      <c r="C83" s="46"/>
      <c r="D83" s="46"/>
      <c r="E83" s="46"/>
      <c r="F83" s="138"/>
      <c r="G83" s="138"/>
      <c r="H83" s="138"/>
      <c r="I83" s="138"/>
      <c r="J83" s="138"/>
    </row>
    <row r="84" spans="1:10" ht="21.75" hidden="1" x14ac:dyDescent="0.55000000000000004">
      <c r="A84" s="136"/>
      <c r="B84" s="46"/>
      <c r="C84" s="46"/>
      <c r="D84" s="46"/>
      <c r="E84" s="46"/>
      <c r="F84" s="138"/>
      <c r="G84" s="138"/>
      <c r="H84" s="138"/>
      <c r="I84" s="138"/>
      <c r="J84" s="138"/>
    </row>
    <row r="85" spans="1:10" ht="21.75" hidden="1" x14ac:dyDescent="0.55000000000000004">
      <c r="A85" s="136"/>
      <c r="B85" s="46"/>
      <c r="C85" s="46"/>
      <c r="D85" s="46"/>
      <c r="E85" s="46"/>
      <c r="F85" s="138"/>
      <c r="G85" s="138"/>
      <c r="H85" s="138"/>
      <c r="I85" s="138"/>
      <c r="J85" s="138"/>
    </row>
    <row r="86" spans="1:10" ht="21.75" hidden="1" x14ac:dyDescent="0.55000000000000004">
      <c r="A86" s="136"/>
      <c r="B86" s="46"/>
      <c r="C86" s="46"/>
      <c r="D86" s="46"/>
      <c r="E86" s="46"/>
      <c r="F86" s="138"/>
      <c r="G86" s="138"/>
      <c r="H86" s="138"/>
      <c r="I86" s="138"/>
      <c r="J86" s="138"/>
    </row>
    <row r="87" spans="1:10" ht="21.75" hidden="1" x14ac:dyDescent="0.55000000000000004">
      <c r="A87" s="136"/>
      <c r="B87" s="46"/>
      <c r="C87" s="46"/>
      <c r="D87" s="46"/>
      <c r="E87" s="46"/>
      <c r="F87" s="138"/>
      <c r="G87" s="138"/>
      <c r="H87" s="138"/>
      <c r="I87" s="138"/>
      <c r="J87" s="138"/>
    </row>
    <row r="88" spans="1:10" ht="21.75" hidden="1" x14ac:dyDescent="0.55000000000000004">
      <c r="A88" s="136"/>
      <c r="B88" s="46"/>
      <c r="C88" s="46"/>
      <c r="D88" s="46"/>
      <c r="E88" s="46"/>
      <c r="F88" s="138"/>
      <c r="G88" s="138"/>
      <c r="H88" s="138"/>
      <c r="I88" s="138"/>
      <c r="J88" s="138"/>
    </row>
    <row r="89" spans="1:10" ht="21.75" hidden="1" x14ac:dyDescent="0.55000000000000004">
      <c r="A89" s="136"/>
      <c r="B89" s="46"/>
      <c r="C89" s="46"/>
      <c r="D89" s="46"/>
      <c r="E89" s="46"/>
      <c r="F89" s="138"/>
      <c r="G89" s="138"/>
      <c r="H89" s="138"/>
      <c r="I89" s="138"/>
      <c r="J89" s="138"/>
    </row>
    <row r="90" spans="1:10" ht="21.75" hidden="1" x14ac:dyDescent="0.55000000000000004">
      <c r="A90" s="136"/>
      <c r="B90" s="46"/>
      <c r="C90" s="46"/>
      <c r="D90" s="46"/>
      <c r="E90" s="46"/>
      <c r="F90" s="138"/>
      <c r="G90" s="138"/>
      <c r="H90" s="138"/>
      <c r="I90" s="138"/>
      <c r="J90" s="138"/>
    </row>
    <row r="91" spans="1:10" ht="21.75" hidden="1" x14ac:dyDescent="0.55000000000000004">
      <c r="A91" s="136"/>
      <c r="B91" s="46"/>
      <c r="C91" s="46"/>
      <c r="D91" s="46"/>
      <c r="E91" s="46"/>
      <c r="F91" s="138"/>
      <c r="G91" s="138"/>
      <c r="H91" s="138"/>
      <c r="I91" s="138"/>
      <c r="J91" s="138"/>
    </row>
    <row r="92" spans="1:10" ht="21.75" hidden="1" x14ac:dyDescent="0.55000000000000004">
      <c r="A92" s="136"/>
      <c r="B92" s="46"/>
      <c r="C92" s="46"/>
      <c r="D92" s="46"/>
      <c r="E92" s="46"/>
      <c r="F92" s="138"/>
      <c r="G92" s="138"/>
      <c r="H92" s="138"/>
      <c r="I92" s="138"/>
      <c r="J92" s="138"/>
    </row>
    <row r="93" spans="1:10" ht="21.75" hidden="1" x14ac:dyDescent="0.55000000000000004">
      <c r="A93" s="136"/>
      <c r="B93" s="46"/>
      <c r="C93" s="46"/>
      <c r="D93" s="46"/>
      <c r="E93" s="46"/>
      <c r="F93" s="138"/>
      <c r="G93" s="138"/>
      <c r="H93" s="138"/>
      <c r="I93" s="138"/>
      <c r="J93" s="138"/>
    </row>
    <row r="94" spans="1:10" ht="21.75" hidden="1" x14ac:dyDescent="0.55000000000000004">
      <c r="A94" s="136"/>
      <c r="B94" s="46"/>
      <c r="C94" s="46"/>
      <c r="D94" s="46"/>
      <c r="E94" s="46"/>
      <c r="F94" s="138"/>
      <c r="G94" s="138"/>
      <c r="H94" s="138"/>
      <c r="I94" s="138"/>
      <c r="J94" s="138"/>
    </row>
    <row r="95" spans="1:10" ht="21.75" hidden="1" x14ac:dyDescent="0.55000000000000004">
      <c r="A95" s="136"/>
      <c r="B95" s="46"/>
      <c r="C95" s="46"/>
      <c r="D95" s="46"/>
      <c r="E95" s="46"/>
      <c r="F95" s="138"/>
      <c r="G95" s="138"/>
      <c r="H95" s="138"/>
      <c r="I95" s="138"/>
      <c r="J95" s="138"/>
    </row>
    <row r="96" spans="1:10" ht="21.75" hidden="1" x14ac:dyDescent="0.55000000000000004">
      <c r="A96" s="136"/>
      <c r="B96" s="46"/>
      <c r="C96" s="46"/>
      <c r="D96" s="46"/>
      <c r="E96" s="46"/>
      <c r="F96" s="138"/>
      <c r="G96" s="138"/>
      <c r="H96" s="138"/>
      <c r="I96" s="138"/>
      <c r="J96" s="138"/>
    </row>
    <row r="97" spans="1:10" ht="21.75" hidden="1" x14ac:dyDescent="0.55000000000000004">
      <c r="A97" s="136"/>
      <c r="B97" s="46"/>
      <c r="C97" s="46"/>
      <c r="D97" s="46"/>
      <c r="E97" s="46"/>
      <c r="F97" s="138"/>
      <c r="G97" s="138"/>
      <c r="H97" s="138"/>
      <c r="I97" s="138"/>
      <c r="J97" s="138"/>
    </row>
    <row r="98" spans="1:10" ht="21.75" hidden="1" x14ac:dyDescent="0.55000000000000004">
      <c r="A98" s="136"/>
      <c r="B98" s="46"/>
      <c r="C98" s="46"/>
      <c r="D98" s="46"/>
      <c r="E98" s="46"/>
      <c r="F98" s="138"/>
      <c r="G98" s="138"/>
      <c r="H98" s="138"/>
      <c r="I98" s="138"/>
      <c r="J98" s="138"/>
    </row>
    <row r="99" spans="1:10" ht="21.75" hidden="1" x14ac:dyDescent="0.55000000000000004">
      <c r="A99" s="136"/>
      <c r="B99" s="46"/>
      <c r="C99" s="46"/>
      <c r="D99" s="46"/>
      <c r="E99" s="46"/>
      <c r="F99" s="138"/>
      <c r="G99" s="138"/>
      <c r="H99" s="138"/>
      <c r="I99" s="138"/>
      <c r="J99" s="138"/>
    </row>
    <row r="100" spans="1:10" ht="21.75" hidden="1" x14ac:dyDescent="0.55000000000000004">
      <c r="A100" s="136"/>
      <c r="B100" s="46"/>
      <c r="C100" s="46"/>
      <c r="D100" s="46"/>
      <c r="E100" s="46"/>
      <c r="F100" s="138"/>
      <c r="G100" s="138"/>
      <c r="H100" s="138"/>
      <c r="I100" s="138"/>
      <c r="J100" s="138"/>
    </row>
    <row r="101" spans="1:10" ht="21.75" hidden="1" x14ac:dyDescent="0.55000000000000004">
      <c r="A101" s="136"/>
      <c r="B101" s="46"/>
      <c r="C101" s="46"/>
      <c r="D101" s="46"/>
      <c r="E101" s="46"/>
      <c r="F101" s="138"/>
      <c r="G101" s="138"/>
      <c r="H101" s="138"/>
      <c r="I101" s="138"/>
      <c r="J101" s="138"/>
    </row>
    <row r="102" spans="1:10" ht="21.75" hidden="1" x14ac:dyDescent="0.55000000000000004">
      <c r="A102" s="136"/>
      <c r="B102" s="46"/>
      <c r="C102" s="46"/>
      <c r="D102" s="46"/>
      <c r="E102" s="46"/>
      <c r="F102" s="140"/>
      <c r="G102" s="140"/>
      <c r="H102" s="140"/>
      <c r="I102" s="140"/>
      <c r="J102" s="140"/>
    </row>
    <row r="103" spans="1:10" ht="21.75" hidden="1" x14ac:dyDescent="0.55000000000000004">
      <c r="A103" s="136"/>
      <c r="B103" s="46"/>
      <c r="C103" s="46"/>
      <c r="D103" s="46"/>
      <c r="E103" s="46"/>
      <c r="F103" s="140"/>
      <c r="G103" s="140"/>
      <c r="H103" s="140"/>
      <c r="I103" s="140"/>
      <c r="J103" s="140"/>
    </row>
    <row r="104" spans="1:10" ht="21.75" hidden="1" x14ac:dyDescent="0.55000000000000004">
      <c r="A104" s="136"/>
      <c r="B104" s="46"/>
      <c r="C104" s="46"/>
      <c r="D104" s="46"/>
      <c r="E104" s="46"/>
      <c r="F104" s="140"/>
      <c r="G104" s="140"/>
      <c r="H104" s="140"/>
      <c r="I104" s="140"/>
      <c r="J104" s="140"/>
    </row>
    <row r="105" spans="1:10" ht="21.75" hidden="1" x14ac:dyDescent="0.55000000000000004">
      <c r="A105" s="136"/>
      <c r="B105" s="46"/>
      <c r="C105" s="46"/>
      <c r="D105" s="46"/>
      <c r="E105" s="46"/>
      <c r="F105" s="140"/>
      <c r="G105" s="140"/>
      <c r="H105" s="140"/>
      <c r="I105" s="140"/>
      <c r="J105" s="140"/>
    </row>
    <row r="106" spans="1:10" ht="21.75" hidden="1" x14ac:dyDescent="0.55000000000000004">
      <c r="A106" s="136"/>
      <c r="B106" s="46"/>
      <c r="C106" s="46"/>
      <c r="D106" s="46"/>
      <c r="E106" s="46"/>
      <c r="F106" s="140"/>
      <c r="G106" s="140"/>
      <c r="H106" s="140"/>
      <c r="I106" s="140"/>
      <c r="J106" s="140"/>
    </row>
    <row r="107" spans="1:10" ht="21.75" hidden="1" x14ac:dyDescent="0.55000000000000004">
      <c r="A107" s="136"/>
      <c r="B107" s="46"/>
      <c r="C107" s="46"/>
      <c r="D107" s="46"/>
      <c r="E107" s="46"/>
      <c r="F107" s="140"/>
      <c r="G107" s="140"/>
      <c r="H107" s="140"/>
      <c r="I107" s="140"/>
      <c r="J107" s="140"/>
    </row>
    <row r="108" spans="1:10" ht="21.75" hidden="1" x14ac:dyDescent="0.55000000000000004">
      <c r="A108" s="136"/>
      <c r="B108" s="46"/>
      <c r="C108" s="46"/>
      <c r="D108" s="46"/>
      <c r="E108" s="46"/>
      <c r="F108" s="140"/>
      <c r="G108" s="140"/>
      <c r="H108" s="140"/>
      <c r="I108" s="140"/>
      <c r="J108" s="140"/>
    </row>
    <row r="109" spans="1:10" ht="21.75" hidden="1" x14ac:dyDescent="0.55000000000000004">
      <c r="A109" s="136"/>
      <c r="B109" s="46"/>
      <c r="C109" s="46"/>
      <c r="D109" s="46"/>
      <c r="E109" s="46"/>
      <c r="F109" s="140"/>
      <c r="G109" s="140"/>
      <c r="H109" s="140"/>
      <c r="I109" s="140"/>
      <c r="J109" s="140"/>
    </row>
    <row r="110" spans="1:10" ht="21.75" hidden="1" x14ac:dyDescent="0.55000000000000004">
      <c r="A110" s="136"/>
      <c r="B110" s="46"/>
      <c r="C110" s="46"/>
      <c r="D110" s="46"/>
      <c r="E110" s="46"/>
      <c r="F110" s="140"/>
      <c r="G110" s="140"/>
      <c r="H110" s="140"/>
      <c r="I110" s="140"/>
      <c r="J110" s="140"/>
    </row>
    <row r="111" spans="1:10" ht="21.75" hidden="1" x14ac:dyDescent="0.55000000000000004">
      <c r="A111" s="136"/>
      <c r="B111" s="46"/>
      <c r="C111" s="46"/>
      <c r="D111" s="46"/>
      <c r="E111" s="46"/>
      <c r="F111" s="140"/>
      <c r="G111" s="140"/>
      <c r="H111" s="140"/>
      <c r="I111" s="140"/>
      <c r="J111" s="140"/>
    </row>
    <row r="112" spans="1:10" ht="21.75" hidden="1" x14ac:dyDescent="0.55000000000000004">
      <c r="A112" s="136"/>
      <c r="B112" s="46"/>
      <c r="C112" s="46"/>
      <c r="D112" s="46"/>
      <c r="E112" s="46"/>
      <c r="F112" s="140"/>
      <c r="G112" s="140"/>
      <c r="H112" s="140"/>
      <c r="I112" s="140"/>
      <c r="J112" s="140"/>
    </row>
    <row r="113" spans="1:10" ht="21.75" hidden="1" x14ac:dyDescent="0.55000000000000004">
      <c r="A113" s="136"/>
      <c r="B113" s="46"/>
      <c r="C113" s="46"/>
      <c r="D113" s="46"/>
      <c r="E113" s="46"/>
      <c r="F113" s="140"/>
      <c r="G113" s="140"/>
      <c r="H113" s="140"/>
      <c r="I113" s="140"/>
      <c r="J113" s="140"/>
    </row>
    <row r="114" spans="1:10" ht="21.75" hidden="1" x14ac:dyDescent="0.55000000000000004">
      <c r="A114" s="136"/>
      <c r="B114" s="46"/>
      <c r="C114" s="46"/>
      <c r="D114" s="46"/>
      <c r="E114" s="46"/>
      <c r="F114" s="140"/>
      <c r="G114" s="140"/>
      <c r="H114" s="140"/>
      <c r="I114" s="140"/>
      <c r="J114" s="140"/>
    </row>
    <row r="115" spans="1:10" ht="21.75" hidden="1" x14ac:dyDescent="0.55000000000000004">
      <c r="A115" s="136"/>
      <c r="B115" s="46"/>
      <c r="C115" s="46"/>
      <c r="D115" s="46"/>
      <c r="E115" s="46"/>
      <c r="F115" s="140"/>
      <c r="G115" s="140"/>
      <c r="H115" s="140"/>
      <c r="I115" s="140"/>
      <c r="J115" s="140"/>
    </row>
    <row r="116" spans="1:10" ht="21.75" hidden="1" x14ac:dyDescent="0.55000000000000004">
      <c r="A116" s="136"/>
      <c r="B116" s="46"/>
      <c r="C116" s="46"/>
      <c r="D116" s="46"/>
      <c r="E116" s="46"/>
      <c r="F116" s="140"/>
      <c r="G116" s="140"/>
      <c r="H116" s="140"/>
      <c r="I116" s="140"/>
      <c r="J116" s="140"/>
    </row>
    <row r="117" spans="1:10" ht="21.75" hidden="1" x14ac:dyDescent="0.55000000000000004">
      <c r="A117" s="136"/>
      <c r="B117" s="46"/>
      <c r="C117" s="46"/>
      <c r="D117" s="46"/>
      <c r="E117" s="46"/>
      <c r="F117" s="140"/>
      <c r="G117" s="140"/>
      <c r="H117" s="140"/>
      <c r="I117" s="140"/>
      <c r="J117" s="140"/>
    </row>
    <row r="118" spans="1:10" ht="21.75" hidden="1" x14ac:dyDescent="0.55000000000000004">
      <c r="A118" s="136"/>
      <c r="B118" s="46"/>
      <c r="C118" s="46"/>
      <c r="D118" s="46"/>
      <c r="E118" s="46"/>
      <c r="F118" s="140"/>
      <c r="G118" s="140"/>
      <c r="H118" s="140"/>
      <c r="I118" s="140"/>
      <c r="J118" s="140"/>
    </row>
    <row r="119" spans="1:10" ht="21.75" hidden="1" x14ac:dyDescent="0.55000000000000004">
      <c r="A119" s="136"/>
      <c r="B119" s="46"/>
      <c r="C119" s="46"/>
      <c r="D119" s="46"/>
      <c r="E119" s="46"/>
      <c r="F119" s="140"/>
      <c r="G119" s="140"/>
      <c r="H119" s="140"/>
      <c r="I119" s="140"/>
      <c r="J119" s="140"/>
    </row>
    <row r="120" spans="1:10" ht="21.75" hidden="1" x14ac:dyDescent="0.55000000000000004">
      <c r="A120" s="136"/>
      <c r="B120" s="46"/>
      <c r="C120" s="46"/>
      <c r="D120" s="46"/>
      <c r="E120" s="46"/>
      <c r="F120" s="140"/>
      <c r="G120" s="140"/>
      <c r="H120" s="140"/>
      <c r="I120" s="140"/>
      <c r="J120" s="140"/>
    </row>
    <row r="121" spans="1:10" ht="21.75" hidden="1" x14ac:dyDescent="0.55000000000000004">
      <c r="A121" s="136"/>
      <c r="B121" s="46"/>
      <c r="C121" s="46"/>
      <c r="D121" s="46"/>
      <c r="E121" s="46"/>
      <c r="F121" s="140"/>
      <c r="G121" s="140"/>
      <c r="H121" s="140"/>
      <c r="I121" s="140"/>
      <c r="J121" s="140"/>
    </row>
    <row r="122" spans="1:10" ht="21.75" hidden="1" x14ac:dyDescent="0.55000000000000004">
      <c r="A122" s="136"/>
      <c r="B122" s="46"/>
      <c r="C122" s="46"/>
      <c r="D122" s="46"/>
      <c r="E122" s="46"/>
      <c r="F122" s="140"/>
      <c r="G122" s="140"/>
      <c r="H122" s="140"/>
      <c r="I122" s="140"/>
      <c r="J122" s="140"/>
    </row>
    <row r="123" spans="1:10" ht="21.75" hidden="1" x14ac:dyDescent="0.55000000000000004">
      <c r="A123" s="136"/>
      <c r="B123" s="46"/>
      <c r="C123" s="46"/>
      <c r="D123" s="46"/>
      <c r="E123" s="46"/>
      <c r="F123" s="140"/>
      <c r="G123" s="140"/>
      <c r="H123" s="140"/>
      <c r="I123" s="140"/>
      <c r="J123" s="140"/>
    </row>
    <row r="124" spans="1:10" ht="21.75" hidden="1" x14ac:dyDescent="0.55000000000000004">
      <c r="A124" s="136"/>
      <c r="B124" s="46"/>
      <c r="C124" s="46"/>
      <c r="D124" s="46"/>
      <c r="E124" s="46"/>
      <c r="F124" s="140"/>
      <c r="G124" s="140"/>
      <c r="H124" s="140"/>
      <c r="I124" s="140"/>
      <c r="J124" s="140"/>
    </row>
    <row r="125" spans="1:10" ht="21.75" hidden="1" x14ac:dyDescent="0.55000000000000004">
      <c r="A125" s="136"/>
      <c r="B125" s="46"/>
      <c r="C125" s="46"/>
      <c r="D125" s="46"/>
      <c r="E125" s="46"/>
      <c r="F125" s="140"/>
      <c r="G125" s="140"/>
      <c r="H125" s="140"/>
      <c r="I125" s="140"/>
      <c r="J125" s="140"/>
    </row>
    <row r="126" spans="1:10" ht="21.75" hidden="1" x14ac:dyDescent="0.55000000000000004">
      <c r="A126" s="136"/>
      <c r="B126" s="46"/>
      <c r="C126" s="46"/>
      <c r="D126" s="46"/>
      <c r="E126" s="46"/>
      <c r="F126" s="140"/>
      <c r="G126" s="140"/>
      <c r="H126" s="140"/>
      <c r="I126" s="140"/>
      <c r="J126" s="140"/>
    </row>
    <row r="127" spans="1:10" ht="21.75" hidden="1" x14ac:dyDescent="0.55000000000000004">
      <c r="A127" s="136"/>
      <c r="B127" s="46"/>
      <c r="C127" s="46"/>
      <c r="D127" s="46"/>
      <c r="E127" s="46"/>
      <c r="F127" s="140"/>
      <c r="G127" s="140"/>
      <c r="H127" s="140"/>
      <c r="I127" s="140"/>
      <c r="J127" s="140"/>
    </row>
    <row r="128" spans="1:10" ht="21.75" hidden="1" x14ac:dyDescent="0.55000000000000004">
      <c r="A128" s="136"/>
      <c r="B128" s="46"/>
      <c r="C128" s="46"/>
      <c r="D128" s="46"/>
      <c r="E128" s="46"/>
      <c r="F128" s="140"/>
      <c r="G128" s="140"/>
      <c r="H128" s="140"/>
      <c r="I128" s="140"/>
      <c r="J128" s="140"/>
    </row>
    <row r="129" spans="1:10" ht="21.75" hidden="1" x14ac:dyDescent="0.55000000000000004">
      <c r="A129" s="136"/>
      <c r="B129" s="46"/>
      <c r="C129" s="46"/>
      <c r="D129" s="46"/>
      <c r="E129" s="46"/>
      <c r="F129" s="140"/>
      <c r="G129" s="140"/>
      <c r="H129" s="140"/>
      <c r="I129" s="140"/>
      <c r="J129" s="140"/>
    </row>
    <row r="130" spans="1:10" ht="21.75" hidden="1" x14ac:dyDescent="0.55000000000000004">
      <c r="A130" s="136"/>
      <c r="B130" s="46"/>
      <c r="C130" s="46"/>
      <c r="D130" s="46"/>
      <c r="E130" s="46"/>
      <c r="F130" s="140"/>
      <c r="G130" s="140"/>
      <c r="H130" s="140"/>
      <c r="I130" s="140"/>
      <c r="J130" s="140"/>
    </row>
    <row r="131" spans="1:10" ht="21.75" hidden="1" x14ac:dyDescent="0.55000000000000004">
      <c r="A131" s="136"/>
      <c r="B131" s="46"/>
      <c r="C131" s="46"/>
      <c r="D131" s="46"/>
      <c r="E131" s="46"/>
      <c r="F131" s="140"/>
      <c r="G131" s="140"/>
      <c r="H131" s="140"/>
      <c r="I131" s="140"/>
      <c r="J131" s="140"/>
    </row>
    <row r="132" spans="1:10" ht="21.75" hidden="1" x14ac:dyDescent="0.55000000000000004">
      <c r="A132" s="136"/>
      <c r="B132" s="46"/>
      <c r="C132" s="46"/>
      <c r="D132" s="46"/>
      <c r="E132" s="46"/>
      <c r="F132" s="140"/>
      <c r="G132" s="140"/>
      <c r="H132" s="140"/>
      <c r="I132" s="140"/>
      <c r="J132" s="140"/>
    </row>
    <row r="133" spans="1:10" ht="21.75" hidden="1" x14ac:dyDescent="0.55000000000000004">
      <c r="A133" s="136"/>
      <c r="B133" s="46"/>
      <c r="C133" s="46"/>
      <c r="D133" s="46"/>
      <c r="E133" s="46"/>
      <c r="F133" s="140"/>
      <c r="G133" s="140"/>
      <c r="H133" s="140"/>
      <c r="I133" s="140"/>
      <c r="J133" s="140"/>
    </row>
    <row r="134" spans="1:10" ht="21.75" hidden="1" x14ac:dyDescent="0.55000000000000004">
      <c r="A134" s="136"/>
      <c r="B134" s="46"/>
      <c r="C134" s="46"/>
      <c r="D134" s="46"/>
      <c r="E134" s="46"/>
      <c r="F134" s="140"/>
      <c r="G134" s="140"/>
      <c r="H134" s="140"/>
      <c r="I134" s="140"/>
      <c r="J134" s="140"/>
    </row>
    <row r="135" spans="1:10" ht="21.75" hidden="1" x14ac:dyDescent="0.55000000000000004">
      <c r="A135" s="136"/>
      <c r="B135" s="46"/>
      <c r="C135" s="46"/>
      <c r="D135" s="46"/>
      <c r="E135" s="46"/>
      <c r="F135" s="140"/>
      <c r="G135" s="140"/>
      <c r="H135" s="140"/>
      <c r="I135" s="140"/>
      <c r="J135" s="140"/>
    </row>
    <row r="136" spans="1:10" ht="21.75" hidden="1" x14ac:dyDescent="0.55000000000000004">
      <c r="A136" s="136"/>
      <c r="B136" s="46"/>
      <c r="C136" s="46"/>
      <c r="D136" s="46"/>
      <c r="E136" s="46"/>
      <c r="F136" s="140"/>
      <c r="G136" s="140"/>
      <c r="H136" s="140"/>
      <c r="I136" s="140"/>
      <c r="J136" s="140"/>
    </row>
    <row r="137" spans="1:10" ht="21.75" hidden="1" x14ac:dyDescent="0.55000000000000004">
      <c r="A137" s="136"/>
      <c r="B137" s="46"/>
      <c r="C137" s="46"/>
      <c r="D137" s="46"/>
      <c r="E137" s="46"/>
      <c r="F137" s="140"/>
      <c r="G137" s="140"/>
      <c r="H137" s="140"/>
      <c r="I137" s="140"/>
      <c r="J137" s="140"/>
    </row>
    <row r="138" spans="1:10" ht="21.75" hidden="1" x14ac:dyDescent="0.55000000000000004">
      <c r="A138" s="136"/>
      <c r="B138" s="46"/>
      <c r="C138" s="46"/>
      <c r="D138" s="46"/>
      <c r="E138" s="46"/>
      <c r="F138" s="140"/>
      <c r="G138" s="140"/>
      <c r="H138" s="140"/>
      <c r="I138" s="140"/>
      <c r="J138" s="140"/>
    </row>
    <row r="139" spans="1:10" ht="21.75" hidden="1" x14ac:dyDescent="0.55000000000000004">
      <c r="A139" s="136"/>
      <c r="B139" s="46"/>
      <c r="C139" s="46"/>
      <c r="D139" s="46"/>
      <c r="E139" s="46"/>
      <c r="F139" s="140"/>
      <c r="G139" s="140"/>
      <c r="H139" s="140"/>
      <c r="I139" s="140"/>
      <c r="J139" s="140"/>
    </row>
    <row r="140" spans="1:10" ht="21.75" hidden="1" x14ac:dyDescent="0.55000000000000004">
      <c r="A140" s="136"/>
      <c r="B140" s="46"/>
      <c r="C140" s="46"/>
      <c r="D140" s="46"/>
      <c r="E140" s="46"/>
      <c r="F140" s="140"/>
      <c r="G140" s="140"/>
      <c r="H140" s="140"/>
      <c r="I140" s="140"/>
      <c r="J140" s="140"/>
    </row>
    <row r="141" spans="1:10" ht="21.75" hidden="1" x14ac:dyDescent="0.55000000000000004">
      <c r="A141" s="136"/>
      <c r="B141" s="46"/>
      <c r="C141" s="46"/>
      <c r="D141" s="46"/>
      <c r="E141" s="46"/>
      <c r="F141" s="140"/>
      <c r="G141" s="140"/>
      <c r="H141" s="140"/>
      <c r="I141" s="140"/>
      <c r="J141" s="140"/>
    </row>
    <row r="142" spans="1:10" ht="21.75" hidden="1" x14ac:dyDescent="0.55000000000000004">
      <c r="A142" s="136"/>
      <c r="B142" s="46"/>
      <c r="C142" s="46"/>
      <c r="D142" s="46"/>
      <c r="E142" s="46"/>
      <c r="F142" s="140"/>
      <c r="G142" s="140"/>
      <c r="H142" s="140"/>
      <c r="I142" s="140"/>
      <c r="J142" s="140"/>
    </row>
    <row r="143" spans="1:10" ht="21.75" hidden="1" x14ac:dyDescent="0.55000000000000004">
      <c r="A143" s="136"/>
      <c r="B143" s="46"/>
      <c r="C143" s="46"/>
      <c r="D143" s="46"/>
      <c r="E143" s="46"/>
      <c r="F143" s="140"/>
      <c r="G143" s="140"/>
      <c r="H143" s="140"/>
      <c r="I143" s="140"/>
      <c r="J143" s="140"/>
    </row>
    <row r="144" spans="1:10" ht="21.75" hidden="1" x14ac:dyDescent="0.55000000000000004">
      <c r="A144" s="136"/>
      <c r="B144" s="46"/>
      <c r="C144" s="46"/>
      <c r="D144" s="46"/>
      <c r="E144" s="46"/>
      <c r="F144" s="140"/>
      <c r="G144" s="140"/>
      <c r="H144" s="140"/>
      <c r="I144" s="140"/>
      <c r="J144" s="140"/>
    </row>
    <row r="145" spans="1:10" ht="21.75" hidden="1" x14ac:dyDescent="0.55000000000000004">
      <c r="A145" s="136"/>
      <c r="B145" s="46"/>
      <c r="C145" s="46"/>
      <c r="D145" s="46"/>
      <c r="E145" s="46"/>
      <c r="F145" s="140"/>
      <c r="G145" s="140"/>
      <c r="H145" s="140"/>
      <c r="I145" s="140"/>
      <c r="J145" s="140"/>
    </row>
    <row r="146" spans="1:10" ht="21.75" hidden="1" x14ac:dyDescent="0.55000000000000004">
      <c r="A146" s="136"/>
      <c r="B146" s="46"/>
      <c r="C146" s="46"/>
      <c r="D146" s="46"/>
      <c r="E146" s="46"/>
      <c r="F146" s="140"/>
      <c r="G146" s="140"/>
      <c r="H146" s="140"/>
      <c r="I146" s="140"/>
      <c r="J146" s="140"/>
    </row>
    <row r="147" spans="1:10" ht="21.75" hidden="1" x14ac:dyDescent="0.55000000000000004">
      <c r="A147" s="136"/>
      <c r="B147" s="46"/>
      <c r="C147" s="46"/>
      <c r="D147" s="46"/>
      <c r="E147" s="46"/>
      <c r="F147" s="140"/>
      <c r="G147" s="140"/>
      <c r="H147" s="140"/>
      <c r="I147" s="140"/>
      <c r="J147" s="140"/>
    </row>
    <row r="148" spans="1:10" ht="21.75" hidden="1" x14ac:dyDescent="0.55000000000000004">
      <c r="A148" s="136"/>
      <c r="B148" s="46"/>
      <c r="C148" s="46"/>
      <c r="D148" s="46"/>
      <c r="E148" s="46"/>
      <c r="F148" s="140"/>
      <c r="G148" s="140"/>
      <c r="H148" s="140"/>
      <c r="I148" s="140"/>
      <c r="J148" s="140"/>
    </row>
    <row r="149" spans="1:10" ht="21.75" hidden="1" x14ac:dyDescent="0.55000000000000004">
      <c r="A149" s="136"/>
      <c r="B149" s="46"/>
      <c r="C149" s="46"/>
      <c r="D149" s="46"/>
      <c r="E149" s="46"/>
      <c r="F149" s="140"/>
      <c r="G149" s="140"/>
      <c r="H149" s="140"/>
      <c r="I149" s="140"/>
      <c r="J149" s="140"/>
    </row>
    <row r="150" spans="1:10" ht="21.75" hidden="1" x14ac:dyDescent="0.55000000000000004">
      <c r="A150" s="136"/>
      <c r="B150" s="46"/>
      <c r="C150" s="46"/>
      <c r="D150" s="46"/>
      <c r="E150" s="46"/>
      <c r="F150" s="140"/>
      <c r="G150" s="140"/>
      <c r="H150" s="140"/>
      <c r="I150" s="140"/>
      <c r="J150" s="140"/>
    </row>
    <row r="151" spans="1:10" ht="21.75" hidden="1" x14ac:dyDescent="0.55000000000000004">
      <c r="A151" s="136"/>
      <c r="B151" s="46"/>
      <c r="C151" s="46"/>
      <c r="D151" s="46"/>
      <c r="E151" s="46"/>
      <c r="F151" s="140"/>
      <c r="G151" s="140"/>
      <c r="H151" s="140"/>
      <c r="I151" s="140"/>
      <c r="J151" s="140"/>
    </row>
    <row r="152" spans="1:10" ht="21.75" hidden="1" x14ac:dyDescent="0.55000000000000004">
      <c r="A152" s="136"/>
      <c r="B152" s="46"/>
      <c r="C152" s="46"/>
      <c r="D152" s="46"/>
      <c r="E152" s="46"/>
      <c r="F152" s="140"/>
      <c r="G152" s="140"/>
      <c r="H152" s="140"/>
      <c r="I152" s="140"/>
      <c r="J152" s="140"/>
    </row>
    <row r="153" spans="1:10" ht="21.75" hidden="1" x14ac:dyDescent="0.55000000000000004">
      <c r="A153" s="136"/>
      <c r="B153" s="46"/>
      <c r="C153" s="46"/>
      <c r="D153" s="46"/>
      <c r="E153" s="46"/>
      <c r="F153" s="140"/>
      <c r="G153" s="140"/>
      <c r="H153" s="140"/>
      <c r="I153" s="140"/>
      <c r="J153" s="140"/>
    </row>
    <row r="154" spans="1:10" ht="21.75" hidden="1" x14ac:dyDescent="0.55000000000000004">
      <c r="A154" s="136"/>
      <c r="B154" s="46"/>
      <c r="C154" s="46"/>
      <c r="D154" s="46"/>
      <c r="E154" s="46"/>
      <c r="F154" s="140"/>
      <c r="G154" s="140"/>
      <c r="H154" s="140"/>
      <c r="I154" s="140"/>
      <c r="J154" s="140"/>
    </row>
    <row r="155" spans="1:10" ht="21.75" hidden="1" x14ac:dyDescent="0.55000000000000004">
      <c r="A155" s="136"/>
      <c r="B155" s="46"/>
      <c r="C155" s="46"/>
      <c r="D155" s="46"/>
      <c r="E155" s="46"/>
      <c r="F155" s="140"/>
      <c r="G155" s="140"/>
      <c r="H155" s="140"/>
      <c r="I155" s="140"/>
      <c r="J155" s="140"/>
    </row>
    <row r="156" spans="1:10" ht="21.75" hidden="1" x14ac:dyDescent="0.55000000000000004">
      <c r="A156" s="136"/>
      <c r="B156" s="46"/>
      <c r="C156" s="46"/>
      <c r="D156" s="46"/>
      <c r="E156" s="46"/>
      <c r="F156" s="140"/>
      <c r="G156" s="140"/>
      <c r="H156" s="140"/>
      <c r="I156" s="140"/>
      <c r="J156" s="140"/>
    </row>
    <row r="157" spans="1:10" ht="21.75" hidden="1" x14ac:dyDescent="0.55000000000000004">
      <c r="A157" s="136"/>
      <c r="B157" s="46"/>
      <c r="C157" s="46"/>
      <c r="D157" s="46"/>
      <c r="E157" s="46"/>
      <c r="F157" s="140"/>
      <c r="G157" s="140"/>
      <c r="H157" s="140"/>
      <c r="I157" s="140"/>
      <c r="J157" s="140"/>
    </row>
    <row r="158" spans="1:10" ht="21.75" hidden="1" x14ac:dyDescent="0.55000000000000004">
      <c r="A158" s="136"/>
      <c r="B158" s="46"/>
      <c r="C158" s="46"/>
      <c r="D158" s="46"/>
      <c r="E158" s="46"/>
      <c r="F158" s="140"/>
      <c r="G158" s="140"/>
      <c r="H158" s="140"/>
      <c r="I158" s="140"/>
      <c r="J158" s="140"/>
    </row>
    <row r="159" spans="1:10" ht="21.75" hidden="1" x14ac:dyDescent="0.55000000000000004">
      <c r="A159" s="136"/>
      <c r="B159" s="46"/>
      <c r="C159" s="46"/>
      <c r="D159" s="46"/>
      <c r="E159" s="46"/>
      <c r="F159" s="140"/>
      <c r="G159" s="140"/>
      <c r="H159" s="140"/>
      <c r="I159" s="140"/>
      <c r="J159" s="140"/>
    </row>
    <row r="160" spans="1:10" ht="21.75" hidden="1" x14ac:dyDescent="0.55000000000000004">
      <c r="A160" s="136"/>
      <c r="B160" s="46"/>
      <c r="C160" s="46"/>
      <c r="D160" s="46"/>
      <c r="E160" s="46"/>
      <c r="F160" s="140"/>
      <c r="G160" s="140"/>
      <c r="H160" s="140"/>
      <c r="I160" s="140"/>
      <c r="J160" s="140"/>
    </row>
    <row r="161" spans="1:10" ht="21.75" hidden="1" x14ac:dyDescent="0.55000000000000004">
      <c r="A161" s="136"/>
      <c r="B161" s="46"/>
      <c r="C161" s="46"/>
      <c r="D161" s="46"/>
      <c r="E161" s="46"/>
      <c r="F161" s="140"/>
      <c r="G161" s="140"/>
      <c r="H161" s="140"/>
      <c r="I161" s="140"/>
      <c r="J161" s="140"/>
    </row>
    <row r="162" spans="1:10" ht="21.75" hidden="1" x14ac:dyDescent="0.55000000000000004">
      <c r="A162" s="136"/>
      <c r="B162" s="46"/>
      <c r="C162" s="46"/>
      <c r="D162" s="46"/>
      <c r="E162" s="46"/>
      <c r="F162" s="140"/>
      <c r="G162" s="140"/>
      <c r="H162" s="140"/>
      <c r="I162" s="140"/>
      <c r="J162" s="140"/>
    </row>
    <row r="163" spans="1:10" ht="21.75" hidden="1" x14ac:dyDescent="0.55000000000000004">
      <c r="A163" s="136"/>
      <c r="B163" s="46"/>
      <c r="C163" s="46"/>
      <c r="D163" s="46"/>
      <c r="E163" s="46"/>
      <c r="F163" s="140"/>
      <c r="G163" s="140"/>
      <c r="H163" s="140"/>
      <c r="I163" s="140"/>
      <c r="J163" s="140"/>
    </row>
    <row r="164" spans="1:10" ht="21.75" hidden="1" x14ac:dyDescent="0.55000000000000004">
      <c r="A164" s="136"/>
      <c r="B164" s="46"/>
      <c r="C164" s="46"/>
      <c r="D164" s="46"/>
      <c r="E164" s="46"/>
      <c r="F164" s="140"/>
      <c r="G164" s="140"/>
      <c r="H164" s="140"/>
      <c r="I164" s="140"/>
      <c r="J164" s="140"/>
    </row>
    <row r="165" spans="1:10" ht="21.75" hidden="1" x14ac:dyDescent="0.55000000000000004">
      <c r="A165" s="136"/>
      <c r="B165" s="46"/>
      <c r="C165" s="46"/>
      <c r="D165" s="46"/>
      <c r="E165" s="46"/>
      <c r="F165" s="140"/>
      <c r="G165" s="140"/>
      <c r="H165" s="140"/>
      <c r="I165" s="140"/>
      <c r="J165" s="140"/>
    </row>
    <row r="166" spans="1:10" ht="21.75" hidden="1" x14ac:dyDescent="0.55000000000000004">
      <c r="A166" s="136"/>
      <c r="B166" s="46"/>
      <c r="C166" s="46"/>
      <c r="D166" s="46"/>
      <c r="E166" s="46"/>
      <c r="F166" s="140"/>
      <c r="G166" s="140"/>
      <c r="H166" s="140"/>
      <c r="I166" s="140"/>
      <c r="J166" s="140"/>
    </row>
    <row r="167" spans="1:10" ht="21.75" hidden="1" x14ac:dyDescent="0.55000000000000004">
      <c r="A167" s="136"/>
      <c r="B167" s="46"/>
      <c r="C167" s="46"/>
      <c r="D167" s="46"/>
      <c r="E167" s="46"/>
      <c r="F167" s="140"/>
      <c r="G167" s="140"/>
      <c r="H167" s="140"/>
      <c r="I167" s="140"/>
      <c r="J167" s="140"/>
    </row>
    <row r="168" spans="1:10" ht="21.75" hidden="1" x14ac:dyDescent="0.55000000000000004">
      <c r="A168" s="136"/>
      <c r="B168" s="46"/>
      <c r="C168" s="46"/>
      <c r="D168" s="46"/>
      <c r="E168" s="46"/>
      <c r="F168" s="140"/>
      <c r="G168" s="140"/>
      <c r="H168" s="140"/>
      <c r="I168" s="140"/>
      <c r="J168" s="140"/>
    </row>
    <row r="169" spans="1:10" ht="21.75" hidden="1" x14ac:dyDescent="0.55000000000000004">
      <c r="A169" s="136"/>
      <c r="B169" s="46"/>
      <c r="C169" s="46"/>
      <c r="D169" s="46"/>
      <c r="E169" s="46"/>
      <c r="F169" s="140"/>
      <c r="G169" s="140"/>
      <c r="H169" s="140"/>
      <c r="I169" s="140"/>
      <c r="J169" s="140"/>
    </row>
    <row r="170" spans="1:10" ht="21.75" hidden="1" x14ac:dyDescent="0.55000000000000004">
      <c r="A170" s="136"/>
      <c r="B170" s="46"/>
      <c r="C170" s="46"/>
      <c r="D170" s="46"/>
      <c r="E170" s="46"/>
      <c r="F170" s="140"/>
      <c r="G170" s="140"/>
      <c r="H170" s="140"/>
      <c r="I170" s="140"/>
      <c r="J170" s="140"/>
    </row>
    <row r="171" spans="1:10" ht="21.75" hidden="1" x14ac:dyDescent="0.55000000000000004">
      <c r="A171" s="136"/>
      <c r="B171" s="46"/>
      <c r="C171" s="46"/>
      <c r="D171" s="46"/>
      <c r="E171" s="46"/>
      <c r="F171" s="140"/>
      <c r="G171" s="140"/>
      <c r="H171" s="140"/>
      <c r="I171" s="140"/>
      <c r="J171" s="140"/>
    </row>
    <row r="172" spans="1:10" ht="21.75" hidden="1" x14ac:dyDescent="0.55000000000000004">
      <c r="A172" s="136"/>
      <c r="B172" s="46"/>
      <c r="C172" s="46"/>
      <c r="D172" s="46"/>
      <c r="E172" s="46"/>
      <c r="F172" s="140"/>
      <c r="G172" s="140"/>
      <c r="H172" s="140"/>
      <c r="I172" s="140"/>
      <c r="J172" s="140"/>
    </row>
    <row r="173" spans="1:10" ht="21.75" hidden="1" x14ac:dyDescent="0.55000000000000004">
      <c r="A173" s="136"/>
      <c r="B173" s="46"/>
      <c r="C173" s="46"/>
      <c r="D173" s="46"/>
      <c r="E173" s="46"/>
      <c r="F173" s="140"/>
      <c r="G173" s="140"/>
      <c r="H173" s="140"/>
      <c r="I173" s="140"/>
      <c r="J173" s="140"/>
    </row>
    <row r="174" spans="1:10" ht="21.75" hidden="1" x14ac:dyDescent="0.55000000000000004">
      <c r="A174" s="136"/>
      <c r="B174" s="46"/>
      <c r="C174" s="46"/>
      <c r="D174" s="46"/>
      <c r="E174" s="46"/>
      <c r="F174" s="140"/>
      <c r="G174" s="140"/>
      <c r="H174" s="140"/>
      <c r="I174" s="140"/>
      <c r="J174" s="140"/>
    </row>
    <row r="175" spans="1:10" ht="21.75" hidden="1" x14ac:dyDescent="0.55000000000000004">
      <c r="A175" s="136"/>
      <c r="B175" s="46"/>
      <c r="C175" s="46"/>
      <c r="D175" s="46"/>
      <c r="E175" s="46"/>
      <c r="F175" s="140"/>
      <c r="G175" s="140"/>
      <c r="H175" s="140"/>
      <c r="I175" s="140"/>
      <c r="J175" s="140"/>
    </row>
    <row r="176" spans="1:10" ht="21.75" hidden="1" x14ac:dyDescent="0.55000000000000004">
      <c r="A176" s="136"/>
      <c r="B176" s="46"/>
      <c r="C176" s="46"/>
      <c r="D176" s="46"/>
      <c r="E176" s="46"/>
      <c r="F176" s="140"/>
      <c r="G176" s="140"/>
      <c r="H176" s="140"/>
      <c r="I176" s="140"/>
      <c r="J176" s="140"/>
    </row>
    <row r="177" spans="1:10" ht="21.75" hidden="1" x14ac:dyDescent="0.55000000000000004">
      <c r="A177" s="136"/>
      <c r="B177" s="46"/>
      <c r="C177" s="46"/>
      <c r="D177" s="46"/>
      <c r="E177" s="46"/>
      <c r="F177" s="140"/>
      <c r="G177" s="140"/>
      <c r="H177" s="140"/>
      <c r="I177" s="140"/>
      <c r="J177" s="140"/>
    </row>
    <row r="178" spans="1:10" ht="21.75" hidden="1" x14ac:dyDescent="0.55000000000000004">
      <c r="A178" s="136"/>
      <c r="B178" s="46"/>
      <c r="C178" s="46"/>
      <c r="D178" s="46"/>
      <c r="E178" s="46"/>
      <c r="F178" s="140"/>
      <c r="G178" s="140"/>
      <c r="H178" s="140"/>
      <c r="I178" s="140"/>
      <c r="J178" s="140"/>
    </row>
    <row r="179" spans="1:10" ht="21.75" hidden="1" x14ac:dyDescent="0.55000000000000004">
      <c r="A179" s="136"/>
      <c r="B179" s="46"/>
      <c r="C179" s="46"/>
      <c r="D179" s="46"/>
      <c r="E179" s="46"/>
      <c r="F179" s="140"/>
      <c r="G179" s="140"/>
      <c r="H179" s="140"/>
      <c r="I179" s="140"/>
      <c r="J179" s="140"/>
    </row>
    <row r="180" spans="1:10" ht="21.75" hidden="1" x14ac:dyDescent="0.55000000000000004">
      <c r="A180" s="136"/>
      <c r="B180" s="46"/>
      <c r="C180" s="46"/>
      <c r="D180" s="46"/>
      <c r="E180" s="46"/>
      <c r="F180" s="140"/>
      <c r="G180" s="140"/>
      <c r="H180" s="140"/>
      <c r="I180" s="140"/>
      <c r="J180" s="140"/>
    </row>
    <row r="181" spans="1:10" ht="21.75" hidden="1" x14ac:dyDescent="0.55000000000000004">
      <c r="A181" s="136"/>
      <c r="B181" s="46"/>
      <c r="C181" s="46"/>
      <c r="D181" s="46"/>
      <c r="E181" s="46"/>
      <c r="F181" s="140"/>
      <c r="G181" s="140"/>
      <c r="H181" s="140"/>
      <c r="I181" s="140"/>
      <c r="J181" s="140"/>
    </row>
    <row r="182" spans="1:10" ht="21.75" hidden="1" x14ac:dyDescent="0.55000000000000004">
      <c r="A182" s="136"/>
      <c r="B182" s="46"/>
      <c r="C182" s="46"/>
      <c r="D182" s="46"/>
      <c r="E182" s="46"/>
      <c r="F182" s="140"/>
      <c r="G182" s="140"/>
      <c r="H182" s="140"/>
      <c r="I182" s="140"/>
      <c r="J182" s="140"/>
    </row>
    <row r="183" spans="1:10" ht="21.75" hidden="1" x14ac:dyDescent="0.55000000000000004">
      <c r="A183" s="136"/>
      <c r="B183" s="46"/>
      <c r="C183" s="46"/>
      <c r="D183" s="46"/>
      <c r="E183" s="46"/>
      <c r="F183" s="140"/>
      <c r="G183" s="140"/>
      <c r="H183" s="140"/>
      <c r="I183" s="140"/>
      <c r="J183" s="140"/>
    </row>
    <row r="184" spans="1:10" ht="21.75" hidden="1" x14ac:dyDescent="0.55000000000000004">
      <c r="A184" s="136"/>
      <c r="B184" s="46"/>
      <c r="C184" s="46"/>
      <c r="D184" s="46"/>
      <c r="E184" s="46"/>
      <c r="F184" s="140"/>
      <c r="G184" s="140"/>
      <c r="H184" s="140"/>
      <c r="I184" s="140"/>
      <c r="J184" s="140"/>
    </row>
    <row r="185" spans="1:10" ht="21.75" hidden="1" x14ac:dyDescent="0.55000000000000004">
      <c r="A185" s="136"/>
      <c r="B185" s="46"/>
      <c r="C185" s="46"/>
      <c r="D185" s="46"/>
      <c r="E185" s="46"/>
      <c r="F185" s="140"/>
      <c r="G185" s="140"/>
      <c r="H185" s="140"/>
      <c r="I185" s="140"/>
      <c r="J185" s="140"/>
    </row>
    <row r="186" spans="1:10" ht="21.75" hidden="1" x14ac:dyDescent="0.55000000000000004">
      <c r="A186" s="136"/>
      <c r="B186" s="46"/>
      <c r="C186" s="46"/>
      <c r="D186" s="46"/>
      <c r="E186" s="46"/>
      <c r="F186" s="140"/>
      <c r="G186" s="140"/>
      <c r="H186" s="140"/>
      <c r="I186" s="140"/>
      <c r="J186" s="140"/>
    </row>
    <row r="187" spans="1:10" ht="21.75" hidden="1" x14ac:dyDescent="0.55000000000000004">
      <c r="A187" s="136"/>
      <c r="B187" s="46"/>
      <c r="C187" s="46"/>
      <c r="D187" s="46"/>
      <c r="E187" s="46"/>
      <c r="F187" s="140"/>
      <c r="G187" s="140"/>
      <c r="H187" s="140"/>
      <c r="I187" s="140"/>
      <c r="J187" s="140"/>
    </row>
    <row r="188" spans="1:10" ht="21.75" hidden="1" x14ac:dyDescent="0.55000000000000004">
      <c r="A188" s="136"/>
      <c r="B188" s="46"/>
      <c r="C188" s="46"/>
      <c r="D188" s="46"/>
      <c r="E188" s="46"/>
      <c r="F188" s="140"/>
      <c r="G188" s="140"/>
      <c r="H188" s="140"/>
      <c r="I188" s="140"/>
      <c r="J188" s="140"/>
    </row>
    <row r="189" spans="1:10" ht="21.75" hidden="1" x14ac:dyDescent="0.55000000000000004">
      <c r="A189" s="136"/>
      <c r="B189" s="46"/>
      <c r="C189" s="46"/>
      <c r="D189" s="46"/>
      <c r="E189" s="46"/>
      <c r="F189" s="140"/>
      <c r="G189" s="140"/>
      <c r="H189" s="140"/>
      <c r="I189" s="140"/>
      <c r="J189" s="140"/>
    </row>
    <row r="190" spans="1:10" ht="21.75" hidden="1" x14ac:dyDescent="0.55000000000000004">
      <c r="A190" s="136"/>
      <c r="B190" s="46"/>
      <c r="C190" s="46"/>
      <c r="D190" s="46"/>
      <c r="E190" s="46"/>
      <c r="F190" s="140"/>
      <c r="G190" s="140"/>
      <c r="H190" s="140"/>
      <c r="I190" s="140"/>
      <c r="J190" s="140"/>
    </row>
    <row r="191" spans="1:10" ht="21.75" hidden="1" x14ac:dyDescent="0.55000000000000004">
      <c r="A191" s="136"/>
      <c r="B191" s="46"/>
      <c r="C191" s="46"/>
      <c r="D191" s="46"/>
      <c r="E191" s="46"/>
      <c r="F191" s="140"/>
      <c r="G191" s="140"/>
      <c r="H191" s="140"/>
      <c r="I191" s="140"/>
      <c r="J191" s="140"/>
    </row>
    <row r="192" spans="1:10" ht="21.75" hidden="1" x14ac:dyDescent="0.55000000000000004">
      <c r="A192" s="136"/>
      <c r="B192" s="46"/>
      <c r="C192" s="46"/>
      <c r="D192" s="46"/>
      <c r="E192" s="46"/>
      <c r="F192" s="140"/>
      <c r="G192" s="140"/>
      <c r="H192" s="140"/>
      <c r="I192" s="140"/>
      <c r="J192" s="140"/>
    </row>
    <row r="193" spans="1:10" ht="21.75" hidden="1" x14ac:dyDescent="0.55000000000000004">
      <c r="A193" s="136"/>
      <c r="B193" s="46"/>
      <c r="C193" s="46"/>
      <c r="D193" s="46"/>
      <c r="E193" s="46"/>
      <c r="F193" s="140"/>
      <c r="G193" s="140"/>
      <c r="H193" s="140"/>
      <c r="I193" s="140"/>
      <c r="J193" s="140"/>
    </row>
    <row r="194" spans="1:10" ht="21.75" hidden="1" x14ac:dyDescent="0.55000000000000004">
      <c r="A194" s="136"/>
      <c r="B194" s="46"/>
      <c r="C194" s="46"/>
      <c r="D194" s="46"/>
      <c r="E194" s="46"/>
      <c r="F194" s="140"/>
      <c r="G194" s="140"/>
      <c r="H194" s="140"/>
      <c r="I194" s="140"/>
      <c r="J194" s="140"/>
    </row>
    <row r="195" spans="1:10" ht="21.75" hidden="1" x14ac:dyDescent="0.55000000000000004">
      <c r="A195" s="136"/>
      <c r="B195" s="46"/>
      <c r="C195" s="46"/>
      <c r="D195" s="46"/>
      <c r="E195" s="46"/>
      <c r="F195" s="140"/>
      <c r="G195" s="140"/>
      <c r="H195" s="140"/>
      <c r="I195" s="140"/>
      <c r="J195" s="140"/>
    </row>
    <row r="196" spans="1:10" ht="21.75" hidden="1" x14ac:dyDescent="0.55000000000000004">
      <c r="A196" s="136"/>
      <c r="B196" s="46"/>
      <c r="C196" s="46"/>
      <c r="D196" s="46"/>
      <c r="E196" s="46"/>
      <c r="F196" s="140"/>
      <c r="G196" s="140"/>
      <c r="H196" s="140"/>
      <c r="I196" s="140"/>
      <c r="J196" s="140"/>
    </row>
    <row r="197" spans="1:10" ht="21.75" hidden="1" x14ac:dyDescent="0.55000000000000004">
      <c r="A197" s="136"/>
      <c r="B197" s="46"/>
      <c r="C197" s="46"/>
      <c r="D197" s="46"/>
      <c r="E197" s="46"/>
      <c r="F197" s="140"/>
      <c r="G197" s="140"/>
      <c r="H197" s="140"/>
      <c r="I197" s="140"/>
      <c r="J197" s="140"/>
    </row>
    <row r="198" spans="1:10" ht="21.75" hidden="1" x14ac:dyDescent="0.55000000000000004">
      <c r="A198" s="136"/>
      <c r="B198" s="46"/>
      <c r="C198" s="46"/>
      <c r="D198" s="46"/>
      <c r="E198" s="46"/>
      <c r="F198" s="140"/>
      <c r="G198" s="140"/>
      <c r="H198" s="140"/>
      <c r="I198" s="140"/>
      <c r="J198" s="140"/>
    </row>
    <row r="199" spans="1:10" ht="21.75" hidden="1" x14ac:dyDescent="0.55000000000000004">
      <c r="A199" s="136"/>
      <c r="B199" s="46"/>
      <c r="C199" s="46"/>
      <c r="D199" s="46"/>
      <c r="E199" s="46"/>
      <c r="F199" s="140"/>
      <c r="G199" s="140"/>
      <c r="H199" s="140"/>
      <c r="I199" s="140"/>
      <c r="J199" s="140"/>
    </row>
    <row r="200" spans="1:10" ht="21.75" hidden="1" x14ac:dyDescent="0.55000000000000004">
      <c r="A200" s="136"/>
      <c r="B200" s="46"/>
      <c r="C200" s="46"/>
      <c r="D200" s="46"/>
      <c r="E200" s="46"/>
      <c r="F200" s="140"/>
      <c r="G200" s="140"/>
      <c r="H200" s="140"/>
      <c r="I200" s="140"/>
      <c r="J200" s="140"/>
    </row>
    <row r="201" spans="1:10" ht="21.75" hidden="1" x14ac:dyDescent="0.55000000000000004">
      <c r="A201" s="136"/>
      <c r="B201" s="46"/>
      <c r="C201" s="46"/>
      <c r="D201" s="46"/>
      <c r="E201" s="46"/>
      <c r="F201" s="140"/>
      <c r="G201" s="140"/>
      <c r="H201" s="140"/>
      <c r="I201" s="140"/>
      <c r="J201" s="140"/>
    </row>
    <row r="202" spans="1:10" ht="21.75" hidden="1" x14ac:dyDescent="0.55000000000000004">
      <c r="A202" s="136"/>
      <c r="B202" s="46"/>
      <c r="C202" s="46"/>
      <c r="D202" s="46"/>
      <c r="E202" s="46"/>
      <c r="F202" s="140"/>
      <c r="G202" s="140"/>
      <c r="H202" s="140"/>
      <c r="I202" s="140"/>
      <c r="J202" s="140"/>
    </row>
    <row r="203" spans="1:10" ht="21.75" hidden="1" x14ac:dyDescent="0.55000000000000004">
      <c r="A203" s="136"/>
      <c r="B203" s="46"/>
      <c r="C203" s="46"/>
      <c r="D203" s="46"/>
      <c r="E203" s="46"/>
      <c r="F203" s="140"/>
      <c r="G203" s="140"/>
      <c r="H203" s="140"/>
      <c r="I203" s="140"/>
      <c r="J203" s="140"/>
    </row>
    <row r="204" spans="1:10" ht="21.75" hidden="1" x14ac:dyDescent="0.55000000000000004">
      <c r="A204" s="136"/>
      <c r="B204" s="46"/>
      <c r="C204" s="46"/>
      <c r="D204" s="46"/>
      <c r="E204" s="46"/>
      <c r="F204" s="140"/>
      <c r="G204" s="140"/>
      <c r="H204" s="140"/>
      <c r="I204" s="140"/>
      <c r="J204" s="140"/>
    </row>
    <row r="205" spans="1:10" ht="21.75" hidden="1" x14ac:dyDescent="0.55000000000000004">
      <c r="A205" s="136"/>
      <c r="B205" s="46"/>
      <c r="C205" s="46"/>
      <c r="D205" s="46"/>
      <c r="E205" s="46"/>
      <c r="F205" s="140"/>
      <c r="G205" s="140"/>
      <c r="H205" s="140"/>
      <c r="I205" s="140"/>
      <c r="J205" s="140"/>
    </row>
    <row r="206" spans="1:10" ht="21.75" hidden="1" x14ac:dyDescent="0.55000000000000004">
      <c r="A206" s="136"/>
      <c r="B206" s="46"/>
      <c r="C206" s="46"/>
      <c r="D206" s="46"/>
      <c r="E206" s="46"/>
      <c r="F206" s="140"/>
      <c r="G206" s="140"/>
      <c r="H206" s="140"/>
      <c r="I206" s="140"/>
      <c r="J206" s="140"/>
    </row>
    <row r="207" spans="1:10" ht="21.75" hidden="1" x14ac:dyDescent="0.55000000000000004">
      <c r="A207" s="136"/>
      <c r="B207" s="46"/>
      <c r="C207" s="46"/>
      <c r="D207" s="46"/>
      <c r="E207" s="46"/>
      <c r="F207" s="140"/>
      <c r="G207" s="140"/>
      <c r="H207" s="140"/>
      <c r="I207" s="140"/>
      <c r="J207" s="140"/>
    </row>
    <row r="208" spans="1:10" ht="21.75" hidden="1" x14ac:dyDescent="0.55000000000000004">
      <c r="A208" s="136"/>
      <c r="B208" s="46"/>
      <c r="C208" s="46"/>
      <c r="D208" s="46"/>
      <c r="E208" s="46"/>
      <c r="F208" s="140"/>
      <c r="G208" s="140"/>
      <c r="H208" s="140"/>
      <c r="I208" s="140"/>
      <c r="J208" s="140"/>
    </row>
    <row r="209" spans="1:10" ht="21.75" hidden="1" x14ac:dyDescent="0.55000000000000004">
      <c r="A209" s="136"/>
      <c r="B209" s="46"/>
      <c r="C209" s="46"/>
      <c r="D209" s="46"/>
      <c r="E209" s="46"/>
      <c r="F209" s="140"/>
      <c r="G209" s="140"/>
      <c r="H209" s="140"/>
      <c r="I209" s="140"/>
      <c r="J209" s="140"/>
    </row>
    <row r="210" spans="1:10" ht="21.75" hidden="1" x14ac:dyDescent="0.55000000000000004">
      <c r="A210" s="136"/>
      <c r="B210" s="46"/>
      <c r="C210" s="46"/>
      <c r="D210" s="46"/>
      <c r="E210" s="46"/>
      <c r="F210" s="140"/>
      <c r="G210" s="140"/>
      <c r="H210" s="140"/>
      <c r="I210" s="140"/>
      <c r="J210" s="140"/>
    </row>
    <row r="211" spans="1:10" ht="21.75" hidden="1" x14ac:dyDescent="0.55000000000000004">
      <c r="A211" s="136"/>
      <c r="B211" s="46"/>
      <c r="C211" s="46"/>
      <c r="D211" s="46"/>
      <c r="E211" s="46"/>
      <c r="F211" s="140"/>
      <c r="G211" s="140"/>
      <c r="H211" s="140"/>
      <c r="I211" s="140"/>
      <c r="J211" s="140"/>
    </row>
    <row r="212" spans="1:10" ht="21.75" hidden="1" x14ac:dyDescent="0.55000000000000004">
      <c r="A212" s="136"/>
      <c r="B212" s="46"/>
      <c r="C212" s="46"/>
      <c r="D212" s="46"/>
      <c r="E212" s="46"/>
      <c r="F212" s="140"/>
      <c r="G212" s="140"/>
      <c r="H212" s="140"/>
      <c r="I212" s="140"/>
      <c r="J212" s="140"/>
    </row>
    <row r="213" spans="1:10" ht="21.75" hidden="1" x14ac:dyDescent="0.55000000000000004">
      <c r="A213" s="136"/>
      <c r="B213" s="46"/>
      <c r="C213" s="46"/>
      <c r="D213" s="46"/>
      <c r="E213" s="46"/>
      <c r="F213" s="140"/>
      <c r="G213" s="140"/>
      <c r="H213" s="140"/>
      <c r="I213" s="140"/>
      <c r="J213" s="140"/>
    </row>
    <row r="214" spans="1:10" ht="21.75" hidden="1" x14ac:dyDescent="0.55000000000000004">
      <c r="A214" s="136"/>
      <c r="B214" s="46"/>
      <c r="C214" s="46"/>
      <c r="D214" s="46"/>
      <c r="E214" s="46"/>
      <c r="F214" s="140"/>
      <c r="G214" s="140"/>
      <c r="H214" s="140"/>
      <c r="I214" s="140"/>
      <c r="J214" s="140"/>
    </row>
    <row r="215" spans="1:10" ht="21.75" hidden="1" x14ac:dyDescent="0.55000000000000004">
      <c r="A215" s="136"/>
      <c r="B215" s="46"/>
      <c r="C215" s="46"/>
      <c r="D215" s="46"/>
      <c r="E215" s="46"/>
      <c r="F215" s="140"/>
      <c r="G215" s="140"/>
      <c r="H215" s="140"/>
      <c r="I215" s="140"/>
      <c r="J215" s="140"/>
    </row>
    <row r="216" spans="1:10" ht="21.75" hidden="1" x14ac:dyDescent="0.55000000000000004">
      <c r="A216" s="136"/>
      <c r="B216" s="46"/>
      <c r="C216" s="46"/>
      <c r="D216" s="46"/>
      <c r="E216" s="46"/>
      <c r="F216" s="140"/>
      <c r="G216" s="140"/>
      <c r="H216" s="140"/>
      <c r="I216" s="140"/>
      <c r="J216" s="140"/>
    </row>
    <row r="217" spans="1:10" ht="21.75" hidden="1" x14ac:dyDescent="0.55000000000000004">
      <c r="A217" s="136"/>
      <c r="B217" s="46"/>
      <c r="C217" s="46"/>
      <c r="D217" s="46"/>
      <c r="E217" s="46"/>
      <c r="F217" s="140"/>
      <c r="G217" s="140"/>
      <c r="H217" s="140"/>
      <c r="I217" s="140"/>
      <c r="J217" s="140"/>
    </row>
    <row r="218" spans="1:10" ht="21.75" hidden="1" x14ac:dyDescent="0.55000000000000004">
      <c r="A218" s="136"/>
      <c r="B218" s="46"/>
      <c r="C218" s="46"/>
      <c r="D218" s="46"/>
      <c r="E218" s="46"/>
      <c r="F218" s="140"/>
      <c r="G218" s="140"/>
      <c r="H218" s="140"/>
      <c r="I218" s="140"/>
      <c r="J218" s="140"/>
    </row>
    <row r="219" spans="1:10" ht="21.75" hidden="1" x14ac:dyDescent="0.55000000000000004">
      <c r="A219" s="136"/>
      <c r="B219" s="46"/>
      <c r="C219" s="46"/>
      <c r="D219" s="46"/>
      <c r="E219" s="46"/>
      <c r="F219" s="140"/>
      <c r="G219" s="140"/>
      <c r="H219" s="140"/>
      <c r="I219" s="140"/>
      <c r="J219" s="140"/>
    </row>
    <row r="220" spans="1:10" ht="21.75" hidden="1" x14ac:dyDescent="0.55000000000000004">
      <c r="A220" s="136"/>
      <c r="B220" s="46"/>
      <c r="C220" s="46"/>
      <c r="D220" s="46"/>
      <c r="E220" s="46"/>
      <c r="F220" s="140"/>
      <c r="G220" s="140"/>
      <c r="H220" s="140"/>
      <c r="I220" s="140"/>
      <c r="J220" s="140"/>
    </row>
    <row r="221" spans="1:10" ht="21.75" hidden="1" x14ac:dyDescent="0.55000000000000004">
      <c r="A221" s="136"/>
      <c r="B221" s="46"/>
      <c r="C221" s="46"/>
      <c r="D221" s="46"/>
      <c r="E221" s="46"/>
      <c r="F221" s="140"/>
      <c r="G221" s="140"/>
      <c r="H221" s="140"/>
      <c r="I221" s="140"/>
      <c r="J221" s="140"/>
    </row>
    <row r="222" spans="1:10" ht="21.75" hidden="1" x14ac:dyDescent="0.55000000000000004">
      <c r="A222" s="136"/>
      <c r="B222" s="46"/>
      <c r="C222" s="46"/>
      <c r="D222" s="46"/>
      <c r="E222" s="46"/>
      <c r="F222" s="140"/>
      <c r="G222" s="140"/>
      <c r="H222" s="140"/>
      <c r="I222" s="140"/>
      <c r="J222" s="140"/>
    </row>
    <row r="223" spans="1:10" ht="21.75" hidden="1" x14ac:dyDescent="0.55000000000000004">
      <c r="A223" s="136"/>
      <c r="B223" s="46"/>
      <c r="C223" s="46"/>
      <c r="D223" s="46"/>
      <c r="E223" s="46"/>
      <c r="F223" s="140"/>
      <c r="G223" s="140"/>
      <c r="H223" s="140"/>
      <c r="I223" s="140"/>
      <c r="J223" s="140"/>
    </row>
    <row r="224" spans="1:10" ht="21.75" hidden="1" x14ac:dyDescent="0.55000000000000004">
      <c r="A224" s="136"/>
      <c r="B224" s="46"/>
      <c r="C224" s="46"/>
      <c r="D224" s="46"/>
      <c r="E224" s="46"/>
      <c r="F224" s="140"/>
      <c r="G224" s="140"/>
      <c r="H224" s="140"/>
      <c r="I224" s="140"/>
      <c r="J224" s="140"/>
    </row>
    <row r="225" spans="1:10" ht="21.75" hidden="1" x14ac:dyDescent="0.55000000000000004">
      <c r="A225" s="136"/>
      <c r="B225" s="46"/>
      <c r="C225" s="46"/>
      <c r="D225" s="46"/>
      <c r="E225" s="46"/>
      <c r="F225" s="140"/>
      <c r="G225" s="140"/>
      <c r="H225" s="140"/>
      <c r="I225" s="140"/>
      <c r="J225" s="140"/>
    </row>
    <row r="226" spans="1:10" ht="21.75" hidden="1" x14ac:dyDescent="0.55000000000000004">
      <c r="A226" s="136"/>
      <c r="B226" s="46"/>
      <c r="C226" s="46"/>
      <c r="D226" s="46"/>
      <c r="E226" s="46"/>
      <c r="F226" s="140"/>
      <c r="G226" s="140"/>
      <c r="H226" s="140"/>
      <c r="I226" s="140"/>
      <c r="J226" s="140"/>
    </row>
    <row r="227" spans="1:10" ht="21.75" hidden="1" x14ac:dyDescent="0.55000000000000004">
      <c r="A227" s="136"/>
      <c r="B227" s="46"/>
      <c r="C227" s="46"/>
      <c r="D227" s="46"/>
      <c r="E227" s="46"/>
      <c r="F227" s="140"/>
      <c r="G227" s="140"/>
      <c r="H227" s="140"/>
      <c r="I227" s="140"/>
      <c r="J227" s="140"/>
    </row>
    <row r="228" spans="1:10" ht="21.75" hidden="1" x14ac:dyDescent="0.55000000000000004">
      <c r="A228" s="136"/>
      <c r="B228" s="46"/>
      <c r="C228" s="46"/>
      <c r="D228" s="46"/>
      <c r="E228" s="46"/>
      <c r="F228" s="140"/>
      <c r="G228" s="140"/>
      <c r="H228" s="140"/>
      <c r="I228" s="140"/>
      <c r="J228" s="140"/>
    </row>
    <row r="229" spans="1:10" ht="21.75" hidden="1" x14ac:dyDescent="0.55000000000000004">
      <c r="A229" s="136"/>
      <c r="B229" s="46"/>
      <c r="C229" s="46"/>
      <c r="D229" s="46"/>
      <c r="E229" s="46"/>
      <c r="F229" s="140"/>
      <c r="G229" s="140"/>
      <c r="H229" s="140"/>
      <c r="I229" s="140"/>
      <c r="J229" s="140"/>
    </row>
    <row r="230" spans="1:10" ht="21.75" hidden="1" x14ac:dyDescent="0.55000000000000004">
      <c r="A230" s="136"/>
      <c r="B230" s="46"/>
      <c r="C230" s="46"/>
      <c r="D230" s="46"/>
      <c r="E230" s="46"/>
      <c r="F230" s="140"/>
      <c r="G230" s="140"/>
      <c r="H230" s="140"/>
      <c r="I230" s="140"/>
      <c r="J230" s="140"/>
    </row>
    <row r="231" spans="1:10" ht="21.75" hidden="1" x14ac:dyDescent="0.55000000000000004">
      <c r="A231" s="136"/>
      <c r="B231" s="46"/>
      <c r="C231" s="46"/>
      <c r="D231" s="46"/>
      <c r="E231" s="46"/>
      <c r="F231" s="140"/>
      <c r="G231" s="140"/>
      <c r="H231" s="140"/>
      <c r="I231" s="140"/>
      <c r="J231" s="140"/>
    </row>
    <row r="232" spans="1:10" ht="21.75" hidden="1" x14ac:dyDescent="0.55000000000000004">
      <c r="A232" s="136"/>
      <c r="B232" s="46"/>
      <c r="C232" s="46"/>
      <c r="D232" s="46"/>
      <c r="E232" s="46"/>
      <c r="F232" s="140"/>
      <c r="G232" s="140"/>
      <c r="H232" s="140"/>
      <c r="I232" s="140"/>
      <c r="J232" s="140"/>
    </row>
    <row r="233" spans="1:10" ht="21.75" hidden="1" x14ac:dyDescent="0.55000000000000004">
      <c r="A233" s="136"/>
      <c r="B233" s="46"/>
      <c r="C233" s="46"/>
      <c r="D233" s="46"/>
      <c r="E233" s="46"/>
      <c r="F233" s="140"/>
      <c r="G233" s="140"/>
      <c r="H233" s="140"/>
      <c r="I233" s="140"/>
      <c r="J233" s="140"/>
    </row>
    <row r="234" spans="1:10" ht="21.75" hidden="1" x14ac:dyDescent="0.55000000000000004">
      <c r="A234" s="136"/>
      <c r="B234" s="46"/>
      <c r="C234" s="46"/>
      <c r="D234" s="46"/>
      <c r="E234" s="46"/>
      <c r="F234" s="140"/>
      <c r="G234" s="140"/>
      <c r="H234" s="140"/>
      <c r="I234" s="140"/>
      <c r="J234" s="140"/>
    </row>
    <row r="235" spans="1:10" ht="21.75" hidden="1" x14ac:dyDescent="0.55000000000000004">
      <c r="A235" s="136"/>
      <c r="B235" s="46"/>
      <c r="C235" s="46"/>
      <c r="D235" s="46"/>
      <c r="E235" s="46"/>
      <c r="F235" s="140"/>
      <c r="G235" s="140"/>
      <c r="H235" s="140"/>
      <c r="I235" s="140"/>
      <c r="J235" s="140"/>
    </row>
    <row r="236" spans="1:10" ht="21.75" hidden="1" x14ac:dyDescent="0.55000000000000004">
      <c r="A236" s="136"/>
      <c r="B236" s="46"/>
      <c r="C236" s="46"/>
      <c r="D236" s="46"/>
      <c r="E236" s="46"/>
      <c r="F236" s="140"/>
      <c r="G236" s="140"/>
      <c r="H236" s="140"/>
      <c r="I236" s="140"/>
      <c r="J236" s="140"/>
    </row>
    <row r="237" spans="1:10" ht="21.75" hidden="1" x14ac:dyDescent="0.55000000000000004">
      <c r="A237" s="136"/>
      <c r="B237" s="46"/>
      <c r="C237" s="46"/>
      <c r="D237" s="46"/>
      <c r="E237" s="46"/>
      <c r="F237" s="140"/>
      <c r="G237" s="140"/>
      <c r="H237" s="140"/>
      <c r="I237" s="140"/>
      <c r="J237" s="140"/>
    </row>
    <row r="238" spans="1:10" ht="21.75" hidden="1" x14ac:dyDescent="0.55000000000000004">
      <c r="A238" s="136"/>
      <c r="B238" s="46"/>
      <c r="C238" s="46"/>
      <c r="D238" s="46"/>
      <c r="E238" s="46"/>
      <c r="F238" s="140"/>
      <c r="G238" s="140"/>
      <c r="H238" s="140"/>
      <c r="I238" s="140"/>
      <c r="J238" s="140"/>
    </row>
    <row r="239" spans="1:10" ht="21.75" hidden="1" x14ac:dyDescent="0.55000000000000004">
      <c r="A239" s="136"/>
      <c r="B239" s="46"/>
      <c r="C239" s="46"/>
      <c r="D239" s="46"/>
      <c r="E239" s="46"/>
      <c r="F239" s="140"/>
      <c r="G239" s="140"/>
      <c r="H239" s="140"/>
      <c r="I239" s="140"/>
      <c r="J239" s="140"/>
    </row>
    <row r="240" spans="1:10" ht="21.75" hidden="1" x14ac:dyDescent="0.55000000000000004">
      <c r="A240" s="136"/>
      <c r="B240" s="46"/>
      <c r="C240" s="46"/>
      <c r="D240" s="46"/>
      <c r="E240" s="46"/>
      <c r="F240" s="140"/>
      <c r="G240" s="140"/>
      <c r="H240" s="140"/>
      <c r="I240" s="140"/>
      <c r="J240" s="140"/>
    </row>
    <row r="241" spans="1:10" ht="21.75" hidden="1" x14ac:dyDescent="0.55000000000000004">
      <c r="A241" s="136"/>
      <c r="B241" s="46"/>
      <c r="C241" s="46"/>
      <c r="D241" s="46"/>
      <c r="E241" s="46"/>
      <c r="F241" s="140"/>
      <c r="G241" s="140"/>
      <c r="H241" s="140"/>
      <c r="I241" s="140"/>
      <c r="J241" s="140"/>
    </row>
    <row r="242" spans="1:10" ht="21.75" hidden="1" x14ac:dyDescent="0.55000000000000004">
      <c r="A242" s="136"/>
      <c r="B242" s="46"/>
      <c r="C242" s="46"/>
      <c r="D242" s="46"/>
      <c r="E242" s="46"/>
      <c r="F242" s="140"/>
      <c r="G242" s="140"/>
      <c r="H242" s="140"/>
      <c r="I242" s="140"/>
      <c r="J242" s="140"/>
    </row>
    <row r="243" spans="1:10" ht="21.75" hidden="1" x14ac:dyDescent="0.55000000000000004">
      <c r="A243" s="136"/>
      <c r="B243" s="46"/>
      <c r="C243" s="46"/>
      <c r="D243" s="46"/>
      <c r="E243" s="46"/>
      <c r="F243" s="140"/>
      <c r="G243" s="140"/>
      <c r="H243" s="140"/>
      <c r="I243" s="140"/>
      <c r="J243" s="140"/>
    </row>
    <row r="244" spans="1:10" ht="21.75" hidden="1" x14ac:dyDescent="0.55000000000000004">
      <c r="A244" s="136"/>
      <c r="B244" s="46"/>
      <c r="C244" s="46"/>
      <c r="D244" s="46"/>
      <c r="E244" s="46"/>
      <c r="F244" s="140"/>
      <c r="G244" s="140"/>
      <c r="H244" s="140"/>
      <c r="I244" s="140"/>
      <c r="J244" s="140"/>
    </row>
    <row r="245" spans="1:10" ht="21.75" hidden="1" x14ac:dyDescent="0.55000000000000004">
      <c r="A245" s="136"/>
      <c r="B245" s="46"/>
      <c r="C245" s="46"/>
      <c r="D245" s="46"/>
      <c r="E245" s="46"/>
      <c r="F245" s="140"/>
      <c r="G245" s="140"/>
      <c r="H245" s="140"/>
      <c r="I245" s="140"/>
      <c r="J245" s="140"/>
    </row>
    <row r="246" spans="1:10" ht="21.75" hidden="1" x14ac:dyDescent="0.55000000000000004">
      <c r="A246" s="136"/>
      <c r="B246" s="46"/>
      <c r="C246" s="46"/>
      <c r="D246" s="46"/>
      <c r="E246" s="46"/>
      <c r="F246" s="140"/>
      <c r="G246" s="140"/>
      <c r="H246" s="140"/>
      <c r="I246" s="140"/>
      <c r="J246" s="140"/>
    </row>
    <row r="247" spans="1:10" ht="21.75" hidden="1" x14ac:dyDescent="0.55000000000000004">
      <c r="A247" s="136"/>
      <c r="B247" s="46"/>
      <c r="C247" s="46"/>
      <c r="D247" s="46"/>
      <c r="E247" s="46"/>
      <c r="F247" s="140"/>
      <c r="G247" s="140"/>
      <c r="H247" s="140"/>
      <c r="I247" s="140"/>
      <c r="J247" s="140"/>
    </row>
    <row r="248" spans="1:10" ht="21.75" hidden="1" x14ac:dyDescent="0.55000000000000004">
      <c r="A248" s="136"/>
      <c r="B248" s="46"/>
      <c r="C248" s="46"/>
      <c r="D248" s="46"/>
      <c r="E248" s="46"/>
      <c r="F248" s="140"/>
      <c r="G248" s="140"/>
      <c r="H248" s="140"/>
      <c r="I248" s="140"/>
      <c r="J248" s="140"/>
    </row>
    <row r="249" spans="1:10" ht="21.75" hidden="1" x14ac:dyDescent="0.55000000000000004">
      <c r="A249" s="136"/>
      <c r="B249" s="46"/>
      <c r="C249" s="46"/>
      <c r="D249" s="46"/>
      <c r="E249" s="46"/>
      <c r="F249" s="140"/>
      <c r="G249" s="140"/>
      <c r="H249" s="140"/>
      <c r="I249" s="140"/>
      <c r="J249" s="140"/>
    </row>
    <row r="250" spans="1:10" ht="21.75" hidden="1" x14ac:dyDescent="0.55000000000000004">
      <c r="A250" s="136"/>
      <c r="B250" s="46"/>
      <c r="C250" s="46"/>
      <c r="D250" s="46"/>
      <c r="E250" s="46"/>
      <c r="F250" s="140"/>
      <c r="G250" s="140"/>
      <c r="H250" s="140"/>
      <c r="I250" s="140"/>
      <c r="J250" s="140"/>
    </row>
    <row r="251" spans="1:10" ht="21.75" hidden="1" x14ac:dyDescent="0.55000000000000004">
      <c r="A251" s="136"/>
      <c r="B251" s="46"/>
      <c r="C251" s="46"/>
      <c r="D251" s="46"/>
      <c r="E251" s="46"/>
      <c r="F251" s="140"/>
      <c r="G251" s="140"/>
      <c r="H251" s="140"/>
      <c r="I251" s="140"/>
      <c r="J251" s="140"/>
    </row>
    <row r="252" spans="1:10" ht="21.75" hidden="1" x14ac:dyDescent="0.55000000000000004">
      <c r="A252" s="136"/>
      <c r="B252" s="46"/>
      <c r="C252" s="46"/>
      <c r="D252" s="46"/>
      <c r="E252" s="46"/>
      <c r="F252" s="140"/>
      <c r="G252" s="140"/>
      <c r="H252" s="140"/>
      <c r="I252" s="140"/>
      <c r="J252" s="140"/>
    </row>
    <row r="253" spans="1:10" ht="21.75" hidden="1" x14ac:dyDescent="0.55000000000000004">
      <c r="A253" s="136"/>
      <c r="B253" s="46"/>
      <c r="C253" s="46"/>
      <c r="D253" s="46"/>
      <c r="E253" s="46"/>
      <c r="F253" s="140"/>
      <c r="G253" s="140"/>
      <c r="H253" s="140"/>
      <c r="I253" s="140"/>
      <c r="J253" s="140"/>
    </row>
    <row r="254" spans="1:10" ht="21.75" hidden="1" x14ac:dyDescent="0.55000000000000004">
      <c r="A254" s="136"/>
      <c r="B254" s="46"/>
      <c r="C254" s="46"/>
      <c r="D254" s="46"/>
      <c r="E254" s="46"/>
      <c r="F254" s="140"/>
      <c r="G254" s="140"/>
      <c r="H254" s="140"/>
      <c r="I254" s="140"/>
      <c r="J254" s="140"/>
    </row>
    <row r="255" spans="1:10" ht="21.75" hidden="1" x14ac:dyDescent="0.55000000000000004">
      <c r="A255" s="136"/>
      <c r="B255" s="46"/>
      <c r="C255" s="46"/>
      <c r="D255" s="46"/>
      <c r="E255" s="46"/>
      <c r="F255" s="140"/>
      <c r="G255" s="140"/>
      <c r="H255" s="140"/>
      <c r="I255" s="140"/>
      <c r="J255" s="140"/>
    </row>
    <row r="256" spans="1:10" ht="21.75" hidden="1" x14ac:dyDescent="0.55000000000000004">
      <c r="A256" s="136"/>
      <c r="B256" s="46"/>
      <c r="C256" s="46"/>
      <c r="D256" s="46"/>
      <c r="E256" s="46"/>
      <c r="F256" s="140"/>
      <c r="G256" s="140"/>
      <c r="H256" s="140"/>
      <c r="I256" s="140"/>
      <c r="J256" s="140"/>
    </row>
    <row r="257" spans="1:10" ht="21.75" hidden="1" x14ac:dyDescent="0.55000000000000004">
      <c r="A257" s="136"/>
      <c r="B257" s="46"/>
      <c r="C257" s="46"/>
      <c r="D257" s="46"/>
      <c r="E257" s="46"/>
      <c r="F257" s="140"/>
      <c r="G257" s="140"/>
      <c r="H257" s="140"/>
      <c r="I257" s="140"/>
      <c r="J257" s="140"/>
    </row>
    <row r="258" spans="1:10" ht="21.75" hidden="1" x14ac:dyDescent="0.55000000000000004">
      <c r="A258" s="136"/>
      <c r="B258" s="46"/>
      <c r="C258" s="46"/>
      <c r="D258" s="46"/>
      <c r="E258" s="46"/>
      <c r="F258" s="140"/>
      <c r="G258" s="140"/>
      <c r="H258" s="140"/>
      <c r="I258" s="140"/>
      <c r="J258" s="140"/>
    </row>
    <row r="259" spans="1:10" ht="21.75" hidden="1" x14ac:dyDescent="0.55000000000000004">
      <c r="A259" s="136"/>
      <c r="B259" s="46"/>
      <c r="C259" s="46"/>
      <c r="D259" s="46"/>
      <c r="E259" s="46"/>
      <c r="F259" s="140"/>
      <c r="G259" s="140"/>
      <c r="H259" s="140"/>
      <c r="I259" s="140"/>
      <c r="J259" s="140"/>
    </row>
    <row r="260" spans="1:10" ht="21.75" hidden="1" x14ac:dyDescent="0.55000000000000004">
      <c r="A260" s="136"/>
      <c r="B260" s="46"/>
      <c r="C260" s="46"/>
      <c r="D260" s="46"/>
      <c r="E260" s="46"/>
      <c r="F260" s="140"/>
      <c r="G260" s="140"/>
      <c r="H260" s="140"/>
      <c r="I260" s="140"/>
      <c r="J260" s="140"/>
    </row>
    <row r="261" spans="1:10" ht="21.75" hidden="1" x14ac:dyDescent="0.55000000000000004">
      <c r="A261" s="136"/>
      <c r="B261" s="46"/>
      <c r="C261" s="46"/>
      <c r="D261" s="46"/>
      <c r="E261" s="46"/>
      <c r="F261" s="140"/>
      <c r="G261" s="140"/>
      <c r="H261" s="140"/>
      <c r="I261" s="140"/>
      <c r="J261" s="140"/>
    </row>
    <row r="262" spans="1:10" ht="21.75" hidden="1" x14ac:dyDescent="0.55000000000000004">
      <c r="A262" s="136"/>
      <c r="B262" s="46"/>
      <c r="C262" s="46"/>
      <c r="D262" s="46"/>
      <c r="E262" s="46"/>
      <c r="F262" s="140"/>
      <c r="G262" s="140"/>
      <c r="H262" s="140"/>
      <c r="I262" s="140"/>
      <c r="J262" s="140"/>
    </row>
    <row r="263" spans="1:10" ht="21.75" hidden="1" x14ac:dyDescent="0.55000000000000004">
      <c r="A263" s="136"/>
      <c r="B263" s="46"/>
      <c r="C263" s="46"/>
      <c r="D263" s="46"/>
      <c r="E263" s="46"/>
      <c r="F263" s="140"/>
      <c r="G263" s="140"/>
      <c r="H263" s="140"/>
      <c r="I263" s="140"/>
      <c r="J263" s="140"/>
    </row>
    <row r="264" spans="1:10" ht="21.75" hidden="1" x14ac:dyDescent="0.55000000000000004">
      <c r="A264" s="136"/>
      <c r="B264" s="46"/>
      <c r="C264" s="46"/>
      <c r="D264" s="46"/>
      <c r="E264" s="46"/>
      <c r="F264" s="140"/>
      <c r="G264" s="140"/>
      <c r="H264" s="140"/>
      <c r="I264" s="140"/>
      <c r="J264" s="140"/>
    </row>
    <row r="265" spans="1:10" ht="21.75" hidden="1" x14ac:dyDescent="0.55000000000000004">
      <c r="A265" s="136"/>
      <c r="B265" s="46"/>
      <c r="C265" s="46"/>
      <c r="D265" s="46"/>
      <c r="E265" s="46"/>
      <c r="F265" s="140"/>
      <c r="G265" s="140"/>
      <c r="H265" s="140"/>
      <c r="I265" s="140"/>
      <c r="J265" s="140"/>
    </row>
    <row r="266" spans="1:10" ht="21.75" hidden="1" x14ac:dyDescent="0.55000000000000004">
      <c r="A266" s="136"/>
      <c r="B266" s="46"/>
      <c r="C266" s="46"/>
      <c r="D266" s="46"/>
      <c r="E266" s="46"/>
      <c r="F266" s="140"/>
      <c r="G266" s="140"/>
      <c r="H266" s="140"/>
      <c r="I266" s="140"/>
      <c r="J266" s="140"/>
    </row>
    <row r="267" spans="1:10" ht="21.75" hidden="1" x14ac:dyDescent="0.55000000000000004">
      <c r="A267" s="136"/>
      <c r="B267" s="46"/>
      <c r="C267" s="46"/>
      <c r="D267" s="46"/>
      <c r="E267" s="46"/>
      <c r="F267" s="140"/>
      <c r="G267" s="140"/>
      <c r="H267" s="140"/>
      <c r="I267" s="140"/>
      <c r="J267" s="140"/>
    </row>
    <row r="268" spans="1:10" ht="21.75" hidden="1" x14ac:dyDescent="0.55000000000000004">
      <c r="A268" s="136"/>
      <c r="B268" s="46"/>
      <c r="C268" s="46"/>
      <c r="D268" s="46"/>
      <c r="E268" s="46"/>
      <c r="F268" s="140"/>
      <c r="G268" s="140"/>
      <c r="H268" s="140"/>
      <c r="I268" s="140"/>
      <c r="J268" s="140"/>
    </row>
    <row r="269" spans="1:10" ht="21.75" hidden="1" x14ac:dyDescent="0.55000000000000004">
      <c r="A269" s="136"/>
      <c r="B269" s="46"/>
      <c r="C269" s="46"/>
      <c r="D269" s="46"/>
      <c r="E269" s="46"/>
      <c r="F269" s="140"/>
      <c r="G269" s="140"/>
      <c r="H269" s="140"/>
      <c r="I269" s="140"/>
      <c r="J269" s="140"/>
    </row>
    <row r="270" spans="1:10" ht="21.75" hidden="1" x14ac:dyDescent="0.55000000000000004">
      <c r="A270" s="136"/>
      <c r="B270" s="46"/>
      <c r="C270" s="46"/>
      <c r="D270" s="46"/>
      <c r="E270" s="46"/>
      <c r="F270" s="140"/>
      <c r="G270" s="140"/>
      <c r="H270" s="140"/>
      <c r="I270" s="140"/>
      <c r="J270" s="140"/>
    </row>
    <row r="271" spans="1:10" ht="21.75" hidden="1" x14ac:dyDescent="0.55000000000000004">
      <c r="A271" s="136"/>
      <c r="B271" s="46"/>
      <c r="C271" s="46"/>
      <c r="D271" s="46"/>
      <c r="E271" s="46"/>
      <c r="F271" s="140"/>
      <c r="G271" s="140"/>
      <c r="H271" s="140"/>
      <c r="I271" s="140"/>
      <c r="J271" s="140"/>
    </row>
    <row r="272" spans="1:10" ht="21.75" hidden="1" x14ac:dyDescent="0.55000000000000004">
      <c r="A272" s="136"/>
      <c r="B272" s="46"/>
      <c r="C272" s="46"/>
      <c r="D272" s="46"/>
      <c r="E272" s="46"/>
      <c r="F272" s="140"/>
      <c r="G272" s="140"/>
      <c r="H272" s="140"/>
      <c r="I272" s="140"/>
      <c r="J272" s="140"/>
    </row>
    <row r="273" spans="1:10" ht="21.75" hidden="1" x14ac:dyDescent="0.55000000000000004">
      <c r="A273" s="136"/>
      <c r="B273" s="46"/>
      <c r="C273" s="46"/>
      <c r="D273" s="46"/>
      <c r="E273" s="46"/>
      <c r="F273" s="140"/>
      <c r="G273" s="140"/>
      <c r="H273" s="140"/>
      <c r="I273" s="140"/>
      <c r="J273" s="140"/>
    </row>
    <row r="274" spans="1:10" ht="21.75" hidden="1" x14ac:dyDescent="0.55000000000000004">
      <c r="A274" s="136"/>
      <c r="B274" s="46"/>
      <c r="C274" s="46"/>
      <c r="D274" s="46"/>
      <c r="E274" s="46"/>
      <c r="F274" s="140"/>
      <c r="G274" s="140"/>
      <c r="H274" s="140"/>
      <c r="I274" s="140"/>
      <c r="J274" s="140"/>
    </row>
    <row r="275" spans="1:10" ht="21.75" hidden="1" x14ac:dyDescent="0.55000000000000004">
      <c r="A275" s="136"/>
      <c r="B275" s="46"/>
      <c r="C275" s="46"/>
      <c r="D275" s="46"/>
      <c r="E275" s="46"/>
      <c r="F275" s="140"/>
      <c r="G275" s="140"/>
      <c r="H275" s="140"/>
      <c r="I275" s="140"/>
      <c r="J275" s="140"/>
    </row>
    <row r="276" spans="1:10" ht="21.75" hidden="1" x14ac:dyDescent="0.55000000000000004">
      <c r="A276" s="136"/>
      <c r="B276" s="46"/>
      <c r="C276" s="46"/>
      <c r="D276" s="46"/>
      <c r="E276" s="46"/>
      <c r="F276" s="140"/>
      <c r="G276" s="140"/>
      <c r="H276" s="140"/>
      <c r="I276" s="140"/>
      <c r="J276" s="140"/>
    </row>
    <row r="277" spans="1:10" ht="21.75" hidden="1" x14ac:dyDescent="0.55000000000000004">
      <c r="A277" s="136"/>
      <c r="B277" s="46"/>
      <c r="C277" s="46"/>
      <c r="D277" s="46"/>
      <c r="E277" s="46"/>
      <c r="F277" s="140"/>
      <c r="G277" s="140"/>
      <c r="H277" s="140"/>
      <c r="I277" s="140"/>
      <c r="J277" s="140"/>
    </row>
    <row r="278" spans="1:10" ht="21.75" hidden="1" x14ac:dyDescent="0.55000000000000004">
      <c r="A278" s="136"/>
      <c r="B278" s="46"/>
      <c r="C278" s="46"/>
      <c r="D278" s="46"/>
      <c r="E278" s="46"/>
      <c r="F278" s="140"/>
      <c r="G278" s="140"/>
      <c r="H278" s="140"/>
      <c r="I278" s="140"/>
      <c r="J278" s="140"/>
    </row>
    <row r="279" spans="1:10" ht="21.75" hidden="1" x14ac:dyDescent="0.55000000000000004">
      <c r="A279" s="136"/>
      <c r="B279" s="46"/>
      <c r="C279" s="46"/>
      <c r="D279" s="46"/>
      <c r="E279" s="46"/>
      <c r="F279" s="140"/>
      <c r="G279" s="140"/>
      <c r="H279" s="140"/>
      <c r="I279" s="140"/>
      <c r="J279" s="140"/>
    </row>
    <row r="280" spans="1:10" ht="21.75" hidden="1" x14ac:dyDescent="0.55000000000000004">
      <c r="A280" s="136"/>
      <c r="B280" s="46"/>
      <c r="C280" s="46"/>
      <c r="D280" s="46"/>
      <c r="E280" s="46"/>
      <c r="F280" s="140"/>
      <c r="G280" s="140"/>
      <c r="H280" s="140"/>
      <c r="I280" s="140"/>
      <c r="J280" s="140"/>
    </row>
    <row r="281" spans="1:10" ht="21.75" hidden="1" x14ac:dyDescent="0.55000000000000004">
      <c r="A281" s="136"/>
      <c r="B281" s="46"/>
      <c r="C281" s="46"/>
      <c r="D281" s="46"/>
      <c r="E281" s="46"/>
      <c r="F281" s="140"/>
      <c r="G281" s="140"/>
      <c r="H281" s="140"/>
      <c r="I281" s="140"/>
      <c r="J281" s="140"/>
    </row>
    <row r="282" spans="1:10" ht="21.75" hidden="1" x14ac:dyDescent="0.55000000000000004">
      <c r="A282" s="136"/>
      <c r="B282" s="46"/>
      <c r="C282" s="46"/>
      <c r="D282" s="46"/>
      <c r="E282" s="46"/>
      <c r="F282" s="140"/>
      <c r="G282" s="140"/>
      <c r="H282" s="140"/>
      <c r="I282" s="140"/>
      <c r="J282" s="140"/>
    </row>
    <row r="283" spans="1:10" ht="21.75" hidden="1" x14ac:dyDescent="0.55000000000000004">
      <c r="A283" s="136"/>
      <c r="B283" s="46"/>
      <c r="C283" s="46"/>
      <c r="D283" s="46"/>
      <c r="E283" s="46"/>
      <c r="F283" s="140"/>
      <c r="G283" s="140"/>
      <c r="H283" s="140"/>
      <c r="I283" s="140"/>
      <c r="J283" s="140"/>
    </row>
    <row r="284" spans="1:10" ht="21.75" hidden="1" x14ac:dyDescent="0.55000000000000004">
      <c r="A284" s="136"/>
      <c r="B284" s="46"/>
      <c r="C284" s="46"/>
      <c r="D284" s="46"/>
      <c r="E284" s="46"/>
      <c r="F284" s="140"/>
      <c r="G284" s="140"/>
      <c r="H284" s="140"/>
      <c r="I284" s="140"/>
      <c r="J284" s="140"/>
    </row>
    <row r="285" spans="1:10" ht="21.75" hidden="1" x14ac:dyDescent="0.55000000000000004">
      <c r="A285" s="136"/>
      <c r="B285" s="46"/>
      <c r="C285" s="46"/>
      <c r="D285" s="46"/>
      <c r="E285" s="46"/>
      <c r="F285" s="140"/>
      <c r="G285" s="140"/>
      <c r="H285" s="140"/>
      <c r="I285" s="140"/>
      <c r="J285" s="140"/>
    </row>
    <row r="286" spans="1:10" ht="21.75" hidden="1" x14ac:dyDescent="0.55000000000000004">
      <c r="A286" s="136"/>
      <c r="B286" s="46"/>
      <c r="C286" s="46"/>
      <c r="D286" s="46"/>
      <c r="E286" s="46"/>
      <c r="F286" s="140"/>
      <c r="G286" s="140"/>
      <c r="H286" s="140"/>
      <c r="I286" s="140"/>
      <c r="J286" s="140"/>
    </row>
    <row r="287" spans="1:10" ht="21.75" hidden="1" x14ac:dyDescent="0.55000000000000004">
      <c r="A287" s="136"/>
      <c r="B287" s="46"/>
      <c r="C287" s="46"/>
      <c r="D287" s="46"/>
      <c r="E287" s="46"/>
      <c r="F287" s="140"/>
      <c r="G287" s="140"/>
      <c r="H287" s="140"/>
      <c r="I287" s="140"/>
      <c r="J287" s="140"/>
    </row>
    <row r="288" spans="1:10" ht="21.75" hidden="1" x14ac:dyDescent="0.55000000000000004">
      <c r="A288" s="136"/>
      <c r="B288" s="46"/>
      <c r="C288" s="46"/>
      <c r="D288" s="46"/>
      <c r="E288" s="46"/>
      <c r="F288" s="140"/>
      <c r="G288" s="140"/>
      <c r="H288" s="140"/>
      <c r="I288" s="140"/>
      <c r="J288" s="140"/>
    </row>
    <row r="289" spans="1:10" ht="21.75" hidden="1" x14ac:dyDescent="0.55000000000000004">
      <c r="A289" s="136"/>
      <c r="B289" s="46"/>
      <c r="C289" s="46"/>
      <c r="D289" s="46"/>
      <c r="E289" s="46"/>
      <c r="F289" s="140"/>
      <c r="G289" s="140"/>
      <c r="H289" s="140"/>
      <c r="I289" s="140"/>
      <c r="J289" s="140"/>
    </row>
    <row r="290" spans="1:10" ht="21.75" hidden="1" x14ac:dyDescent="0.55000000000000004">
      <c r="A290" s="136"/>
      <c r="B290" s="46"/>
      <c r="C290" s="46"/>
      <c r="D290" s="46"/>
      <c r="E290" s="46"/>
      <c r="F290" s="140"/>
      <c r="G290" s="140"/>
      <c r="H290" s="140"/>
      <c r="I290" s="140"/>
      <c r="J290" s="140"/>
    </row>
    <row r="291" spans="1:10" ht="21.75" hidden="1" x14ac:dyDescent="0.55000000000000004">
      <c r="A291" s="136"/>
      <c r="B291" s="46"/>
      <c r="C291" s="46"/>
      <c r="D291" s="46"/>
      <c r="E291" s="46"/>
      <c r="F291" s="140"/>
      <c r="G291" s="140"/>
      <c r="H291" s="140"/>
      <c r="I291" s="140"/>
      <c r="J291" s="140"/>
    </row>
    <row r="292" spans="1:10" ht="21.75" hidden="1" x14ac:dyDescent="0.55000000000000004">
      <c r="A292" s="136"/>
      <c r="B292" s="46"/>
      <c r="C292" s="46"/>
      <c r="D292" s="46"/>
      <c r="E292" s="46"/>
      <c r="F292" s="140"/>
      <c r="G292" s="140"/>
      <c r="H292" s="140"/>
      <c r="I292" s="140"/>
      <c r="J292" s="140"/>
    </row>
    <row r="293" spans="1:10" ht="21.75" hidden="1" x14ac:dyDescent="0.55000000000000004">
      <c r="A293" s="136"/>
      <c r="B293" s="46"/>
      <c r="C293" s="46"/>
      <c r="D293" s="46"/>
      <c r="E293" s="46"/>
      <c r="F293" s="140"/>
      <c r="G293" s="140"/>
      <c r="H293" s="140"/>
      <c r="I293" s="140"/>
      <c r="J293" s="140"/>
    </row>
    <row r="294" spans="1:10" ht="21.75" hidden="1" x14ac:dyDescent="0.55000000000000004">
      <c r="A294" s="136"/>
      <c r="B294" s="46"/>
      <c r="C294" s="46"/>
      <c r="D294" s="46"/>
      <c r="E294" s="46"/>
      <c r="F294" s="140"/>
      <c r="G294" s="140"/>
      <c r="H294" s="140"/>
      <c r="I294" s="140"/>
      <c r="J294" s="140"/>
    </row>
    <row r="295" spans="1:10" ht="21.75" hidden="1" x14ac:dyDescent="0.55000000000000004">
      <c r="A295" s="136"/>
      <c r="B295" s="46"/>
      <c r="C295" s="46"/>
      <c r="D295" s="46"/>
      <c r="E295" s="46"/>
      <c r="F295" s="140"/>
      <c r="G295" s="140"/>
      <c r="H295" s="140"/>
      <c r="I295" s="140"/>
      <c r="J295" s="140"/>
    </row>
    <row r="296" spans="1:10" ht="21.75" hidden="1" x14ac:dyDescent="0.55000000000000004">
      <c r="A296" s="136"/>
      <c r="B296" s="46"/>
      <c r="C296" s="46"/>
      <c r="D296" s="46"/>
      <c r="E296" s="46"/>
      <c r="F296" s="140"/>
      <c r="G296" s="140"/>
      <c r="H296" s="140"/>
      <c r="I296" s="140"/>
      <c r="J296" s="140"/>
    </row>
    <row r="297" spans="1:10" ht="21.75" hidden="1" x14ac:dyDescent="0.55000000000000004">
      <c r="A297" s="136"/>
      <c r="B297" s="46"/>
      <c r="C297" s="46"/>
      <c r="D297" s="46"/>
      <c r="E297" s="46"/>
      <c r="F297" s="140"/>
      <c r="G297" s="140"/>
      <c r="H297" s="140"/>
      <c r="I297" s="140"/>
      <c r="J297" s="140"/>
    </row>
    <row r="298" spans="1:10" ht="21.75" hidden="1" x14ac:dyDescent="0.55000000000000004">
      <c r="A298" s="136"/>
      <c r="B298" s="46"/>
      <c r="C298" s="46"/>
      <c r="D298" s="46"/>
      <c r="E298" s="46"/>
      <c r="F298" s="140"/>
      <c r="G298" s="140"/>
      <c r="H298" s="140"/>
      <c r="I298" s="140"/>
      <c r="J298" s="140"/>
    </row>
    <row r="299" spans="1:10" ht="21.75" hidden="1" x14ac:dyDescent="0.55000000000000004">
      <c r="A299" s="136"/>
      <c r="B299" s="46"/>
      <c r="C299" s="46"/>
      <c r="D299" s="46"/>
      <c r="E299" s="46"/>
      <c r="F299" s="140"/>
      <c r="G299" s="140"/>
      <c r="H299" s="140"/>
      <c r="I299" s="140"/>
      <c r="J299" s="140"/>
    </row>
    <row r="300" spans="1:10" ht="21.75" hidden="1" x14ac:dyDescent="0.55000000000000004">
      <c r="A300" s="136"/>
      <c r="B300" s="46"/>
      <c r="C300" s="46"/>
      <c r="D300" s="46"/>
      <c r="E300" s="46"/>
      <c r="F300" s="140"/>
      <c r="G300" s="140"/>
      <c r="H300" s="140"/>
      <c r="I300" s="140"/>
      <c r="J300" s="140"/>
    </row>
    <row r="301" spans="1:10" ht="21.75" hidden="1" x14ac:dyDescent="0.55000000000000004">
      <c r="A301" s="136"/>
      <c r="B301" s="46"/>
      <c r="C301" s="46"/>
      <c r="D301" s="46"/>
      <c r="E301" s="46"/>
      <c r="F301" s="140"/>
      <c r="G301" s="140"/>
      <c r="H301" s="140"/>
      <c r="I301" s="140"/>
      <c r="J301" s="140"/>
    </row>
    <row r="302" spans="1:10" ht="21.75" hidden="1" x14ac:dyDescent="0.55000000000000004">
      <c r="A302" s="136"/>
      <c r="B302" s="46"/>
      <c r="C302" s="46"/>
      <c r="D302" s="46"/>
      <c r="E302" s="46"/>
      <c r="F302" s="140"/>
      <c r="G302" s="140"/>
      <c r="H302" s="140"/>
      <c r="I302" s="140"/>
      <c r="J302" s="140"/>
    </row>
    <row r="303" spans="1:10" ht="21.75" hidden="1" x14ac:dyDescent="0.55000000000000004">
      <c r="A303" s="136"/>
      <c r="B303" s="46"/>
      <c r="C303" s="46"/>
      <c r="D303" s="46"/>
      <c r="E303" s="46"/>
      <c r="F303" s="140"/>
      <c r="G303" s="140"/>
      <c r="H303" s="140"/>
      <c r="I303" s="140"/>
      <c r="J303" s="140"/>
    </row>
    <row r="304" spans="1:10" ht="21.75" hidden="1" x14ac:dyDescent="0.55000000000000004">
      <c r="A304" s="136"/>
      <c r="B304" s="46"/>
      <c r="C304" s="46"/>
      <c r="D304" s="46"/>
      <c r="E304" s="46"/>
      <c r="F304" s="140"/>
      <c r="G304" s="140"/>
      <c r="H304" s="140"/>
      <c r="I304" s="140"/>
      <c r="J304" s="140"/>
    </row>
    <row r="305" spans="1:10" ht="21.75" hidden="1" x14ac:dyDescent="0.55000000000000004">
      <c r="A305" s="136"/>
      <c r="B305" s="46"/>
      <c r="C305" s="46"/>
      <c r="D305" s="46"/>
      <c r="E305" s="46"/>
      <c r="F305" s="140"/>
      <c r="G305" s="140"/>
      <c r="H305" s="140"/>
      <c r="I305" s="140"/>
      <c r="J305" s="140"/>
    </row>
    <row r="306" spans="1:10" ht="21.75" hidden="1" x14ac:dyDescent="0.55000000000000004">
      <c r="A306" s="136"/>
      <c r="B306" s="46"/>
      <c r="C306" s="46"/>
      <c r="D306" s="46"/>
      <c r="E306" s="46"/>
      <c r="F306" s="140"/>
      <c r="G306" s="140"/>
      <c r="H306" s="140"/>
      <c r="I306" s="140"/>
      <c r="J306" s="140"/>
    </row>
    <row r="307" spans="1:10" ht="21.75" hidden="1" x14ac:dyDescent="0.55000000000000004">
      <c r="A307" s="136"/>
      <c r="B307" s="46"/>
      <c r="C307" s="46"/>
      <c r="D307" s="46"/>
      <c r="E307" s="46"/>
      <c r="F307" s="140"/>
      <c r="G307" s="140"/>
      <c r="H307" s="140"/>
      <c r="I307" s="140"/>
      <c r="J307" s="140"/>
    </row>
    <row r="308" spans="1:10" ht="21.75" hidden="1" x14ac:dyDescent="0.55000000000000004">
      <c r="A308" s="136"/>
      <c r="B308" s="46"/>
      <c r="C308" s="46"/>
      <c r="D308" s="46"/>
      <c r="E308" s="46"/>
      <c r="F308" s="140"/>
      <c r="G308" s="140"/>
      <c r="H308" s="140"/>
      <c r="I308" s="140"/>
      <c r="J308" s="140"/>
    </row>
    <row r="309" spans="1:10" ht="21.75" hidden="1" x14ac:dyDescent="0.55000000000000004">
      <c r="A309" s="136"/>
      <c r="B309" s="46"/>
      <c r="C309" s="46"/>
      <c r="D309" s="46"/>
      <c r="E309" s="46"/>
      <c r="F309" s="140"/>
      <c r="G309" s="140"/>
      <c r="H309" s="140"/>
      <c r="I309" s="140"/>
      <c r="J309" s="140"/>
    </row>
    <row r="310" spans="1:10" ht="21.75" hidden="1" x14ac:dyDescent="0.55000000000000004">
      <c r="A310" s="136"/>
      <c r="B310" s="46"/>
      <c r="C310" s="46"/>
      <c r="D310" s="46"/>
      <c r="E310" s="46"/>
      <c r="F310" s="140"/>
      <c r="G310" s="140"/>
      <c r="H310" s="140"/>
      <c r="I310" s="140"/>
      <c r="J310" s="140"/>
    </row>
    <row r="311" spans="1:10" ht="21.75" hidden="1" x14ac:dyDescent="0.55000000000000004">
      <c r="A311" s="136"/>
      <c r="B311" s="46"/>
      <c r="C311" s="46"/>
      <c r="D311" s="46"/>
      <c r="E311" s="46"/>
      <c r="F311" s="140"/>
      <c r="G311" s="140"/>
      <c r="H311" s="140"/>
      <c r="I311" s="140"/>
      <c r="J311" s="140"/>
    </row>
    <row r="312" spans="1:10" ht="21.75" hidden="1" x14ac:dyDescent="0.55000000000000004">
      <c r="A312" s="136"/>
      <c r="B312" s="46"/>
      <c r="C312" s="46"/>
      <c r="D312" s="46"/>
      <c r="E312" s="46"/>
      <c r="F312" s="140"/>
      <c r="G312" s="140"/>
      <c r="H312" s="140"/>
      <c r="I312" s="140"/>
      <c r="J312" s="140"/>
    </row>
    <row r="313" spans="1:10" ht="21.75" hidden="1" x14ac:dyDescent="0.55000000000000004">
      <c r="A313" s="136"/>
      <c r="B313" s="46"/>
      <c r="C313" s="46"/>
      <c r="D313" s="46"/>
      <c r="E313" s="46"/>
      <c r="F313" s="140"/>
      <c r="G313" s="140"/>
      <c r="H313" s="140"/>
      <c r="I313" s="140"/>
      <c r="J313" s="140"/>
    </row>
    <row r="314" spans="1:10" ht="21.75" hidden="1" x14ac:dyDescent="0.55000000000000004">
      <c r="A314" s="136"/>
      <c r="B314" s="46"/>
      <c r="C314" s="46"/>
      <c r="D314" s="46"/>
      <c r="E314" s="46"/>
      <c r="F314" s="140"/>
      <c r="G314" s="140"/>
      <c r="H314" s="140"/>
      <c r="I314" s="140"/>
      <c r="J314" s="140"/>
    </row>
    <row r="315" spans="1:10" ht="21.75" hidden="1" x14ac:dyDescent="0.55000000000000004">
      <c r="A315" s="136"/>
      <c r="B315" s="46"/>
      <c r="C315" s="46"/>
      <c r="D315" s="46"/>
      <c r="E315" s="46"/>
      <c r="F315" s="140"/>
      <c r="G315" s="140"/>
      <c r="H315" s="140"/>
      <c r="I315" s="140"/>
      <c r="J315" s="140"/>
    </row>
    <row r="316" spans="1:10" ht="21.75" hidden="1" x14ac:dyDescent="0.55000000000000004">
      <c r="A316" s="136"/>
      <c r="B316" s="46"/>
      <c r="C316" s="46"/>
      <c r="D316" s="46"/>
      <c r="E316" s="46"/>
      <c r="F316" s="140"/>
      <c r="G316" s="140"/>
      <c r="H316" s="140"/>
      <c r="I316" s="140"/>
      <c r="J316" s="140"/>
    </row>
    <row r="317" spans="1:10" ht="21.75" hidden="1" x14ac:dyDescent="0.55000000000000004">
      <c r="A317" s="136"/>
      <c r="B317" s="46"/>
      <c r="C317" s="46"/>
      <c r="D317" s="46"/>
      <c r="E317" s="46"/>
      <c r="F317" s="140"/>
      <c r="G317" s="140"/>
      <c r="H317" s="140"/>
      <c r="I317" s="140"/>
      <c r="J317" s="140"/>
    </row>
    <row r="318" spans="1:10" ht="21.75" hidden="1" x14ac:dyDescent="0.55000000000000004">
      <c r="A318" s="136"/>
      <c r="B318" s="46"/>
      <c r="C318" s="46"/>
      <c r="D318" s="46"/>
      <c r="E318" s="46"/>
      <c r="F318" s="140"/>
      <c r="G318" s="140"/>
      <c r="H318" s="140"/>
      <c r="I318" s="140"/>
      <c r="J318" s="140"/>
    </row>
    <row r="319" spans="1:10" ht="21.75" hidden="1" x14ac:dyDescent="0.55000000000000004">
      <c r="A319" s="136"/>
      <c r="B319" s="46"/>
      <c r="C319" s="46"/>
      <c r="D319" s="46"/>
      <c r="E319" s="46"/>
      <c r="F319" s="140"/>
      <c r="G319" s="140"/>
      <c r="H319" s="140"/>
      <c r="I319" s="140"/>
      <c r="J319" s="140"/>
    </row>
    <row r="320" spans="1:10" ht="21.75" hidden="1" x14ac:dyDescent="0.55000000000000004">
      <c r="A320" s="136"/>
      <c r="B320" s="46"/>
      <c r="C320" s="46"/>
      <c r="D320" s="46"/>
      <c r="E320" s="46"/>
      <c r="F320" s="140"/>
      <c r="G320" s="140"/>
      <c r="H320" s="140"/>
      <c r="I320" s="140"/>
      <c r="J320" s="140"/>
    </row>
    <row r="321" spans="1:10" ht="21.75" hidden="1" x14ac:dyDescent="0.55000000000000004">
      <c r="A321" s="136"/>
      <c r="B321" s="46"/>
      <c r="C321" s="46"/>
      <c r="D321" s="46"/>
      <c r="E321" s="46"/>
      <c r="F321" s="140"/>
      <c r="G321" s="140"/>
      <c r="H321" s="140"/>
      <c r="I321" s="140"/>
      <c r="J321" s="140"/>
    </row>
    <row r="322" spans="1:10" ht="21.75" hidden="1" x14ac:dyDescent="0.55000000000000004">
      <c r="A322" s="136"/>
      <c r="B322" s="46"/>
      <c r="C322" s="46"/>
      <c r="D322" s="46"/>
      <c r="E322" s="46"/>
      <c r="F322" s="140"/>
      <c r="G322" s="140"/>
      <c r="H322" s="140"/>
      <c r="I322" s="140"/>
      <c r="J322" s="140"/>
    </row>
    <row r="323" spans="1:10" ht="21.75" hidden="1" x14ac:dyDescent="0.55000000000000004">
      <c r="A323" s="136"/>
      <c r="B323" s="46"/>
      <c r="C323" s="46"/>
      <c r="D323" s="46"/>
      <c r="E323" s="46"/>
      <c r="F323" s="140"/>
      <c r="G323" s="140"/>
      <c r="H323" s="140"/>
      <c r="I323" s="140"/>
      <c r="J323" s="140"/>
    </row>
    <row r="324" spans="1:10" ht="21.75" hidden="1" x14ac:dyDescent="0.55000000000000004">
      <c r="A324" s="136"/>
      <c r="B324" s="46"/>
      <c r="C324" s="46"/>
      <c r="D324" s="46"/>
      <c r="E324" s="46"/>
      <c r="F324" s="140"/>
      <c r="G324" s="140"/>
      <c r="H324" s="140"/>
      <c r="I324" s="140"/>
      <c r="J324" s="140"/>
    </row>
    <row r="325" spans="1:10" ht="21.75" hidden="1" x14ac:dyDescent="0.55000000000000004">
      <c r="A325" s="136"/>
      <c r="B325" s="46"/>
      <c r="C325" s="46"/>
      <c r="D325" s="46"/>
      <c r="E325" s="46"/>
      <c r="F325" s="140"/>
      <c r="G325" s="140"/>
      <c r="H325" s="140"/>
      <c r="I325" s="140"/>
      <c r="J325" s="140"/>
    </row>
    <row r="326" spans="1:10" ht="21.75" hidden="1" x14ac:dyDescent="0.55000000000000004">
      <c r="A326" s="136"/>
      <c r="B326" s="46"/>
      <c r="C326" s="46"/>
      <c r="D326" s="46"/>
      <c r="E326" s="46"/>
      <c r="F326" s="140"/>
      <c r="G326" s="140"/>
      <c r="H326" s="140"/>
      <c r="I326" s="140"/>
      <c r="J326" s="140"/>
    </row>
    <row r="327" spans="1:10" ht="21.75" hidden="1" x14ac:dyDescent="0.55000000000000004">
      <c r="A327" s="136"/>
      <c r="B327" s="46"/>
      <c r="C327" s="46"/>
      <c r="D327" s="46"/>
      <c r="E327" s="46"/>
      <c r="F327" s="140"/>
      <c r="G327" s="140"/>
      <c r="H327" s="140"/>
      <c r="I327" s="140"/>
      <c r="J327" s="140"/>
    </row>
    <row r="328" spans="1:10" ht="21.75" hidden="1" x14ac:dyDescent="0.55000000000000004">
      <c r="A328" s="136"/>
      <c r="B328" s="46"/>
      <c r="C328" s="46"/>
      <c r="D328" s="46"/>
      <c r="E328" s="46"/>
      <c r="F328" s="140"/>
      <c r="G328" s="140"/>
      <c r="H328" s="140"/>
      <c r="I328" s="140"/>
      <c r="J328" s="140"/>
    </row>
    <row r="329" spans="1:10" ht="21.75" hidden="1" x14ac:dyDescent="0.55000000000000004">
      <c r="A329" s="136"/>
      <c r="B329" s="46"/>
      <c r="C329" s="46"/>
      <c r="D329" s="46"/>
      <c r="E329" s="46"/>
      <c r="F329" s="140"/>
      <c r="G329" s="140"/>
      <c r="H329" s="140"/>
      <c r="I329" s="140"/>
      <c r="J329" s="140"/>
    </row>
    <row r="330" spans="1:10" ht="21.75" hidden="1" x14ac:dyDescent="0.55000000000000004">
      <c r="A330" s="136"/>
      <c r="B330" s="46"/>
      <c r="C330" s="46"/>
      <c r="D330" s="46"/>
      <c r="E330" s="46"/>
      <c r="F330" s="140"/>
      <c r="G330" s="140"/>
      <c r="H330" s="140"/>
      <c r="I330" s="140"/>
      <c r="J330" s="140"/>
    </row>
    <row r="331" spans="1:10" ht="21.75" hidden="1" x14ac:dyDescent="0.55000000000000004">
      <c r="A331" s="136"/>
      <c r="B331" s="46"/>
      <c r="C331" s="46"/>
      <c r="D331" s="46"/>
      <c r="E331" s="46"/>
      <c r="F331" s="140"/>
      <c r="G331" s="140"/>
      <c r="H331" s="140"/>
      <c r="I331" s="140"/>
      <c r="J331" s="140"/>
    </row>
    <row r="332" spans="1:10" ht="21.75" hidden="1" x14ac:dyDescent="0.55000000000000004">
      <c r="A332" s="136"/>
      <c r="B332" s="46"/>
      <c r="C332" s="46"/>
      <c r="D332" s="46"/>
      <c r="E332" s="46"/>
      <c r="F332" s="140"/>
      <c r="G332" s="140"/>
      <c r="H332" s="140"/>
      <c r="I332" s="140"/>
      <c r="J332" s="140"/>
    </row>
    <row r="333" spans="1:10" ht="21.75" hidden="1" x14ac:dyDescent="0.55000000000000004">
      <c r="A333" s="136"/>
      <c r="B333" s="46"/>
      <c r="C333" s="46"/>
      <c r="D333" s="46"/>
      <c r="E333" s="46"/>
      <c r="F333" s="140"/>
      <c r="G333" s="140"/>
      <c r="H333" s="140"/>
      <c r="I333" s="140"/>
      <c r="J333" s="140"/>
    </row>
    <row r="334" spans="1:10" ht="21.75" hidden="1" x14ac:dyDescent="0.55000000000000004">
      <c r="A334" s="136"/>
      <c r="B334" s="46"/>
      <c r="C334" s="46"/>
      <c r="D334" s="46"/>
      <c r="E334" s="46"/>
      <c r="F334" s="140"/>
      <c r="G334" s="140"/>
      <c r="H334" s="140"/>
      <c r="I334" s="140"/>
      <c r="J334" s="140"/>
    </row>
    <row r="335" spans="1:10" ht="21.75" hidden="1" x14ac:dyDescent="0.55000000000000004">
      <c r="A335" s="136"/>
      <c r="B335" s="46"/>
      <c r="C335" s="46"/>
      <c r="D335" s="46"/>
      <c r="E335" s="46"/>
      <c r="F335" s="140"/>
      <c r="G335" s="140"/>
      <c r="H335" s="140"/>
      <c r="I335" s="140"/>
      <c r="J335" s="140"/>
    </row>
    <row r="336" spans="1:10" ht="21.75" hidden="1" x14ac:dyDescent="0.55000000000000004">
      <c r="A336" s="136"/>
      <c r="B336" s="46"/>
      <c r="C336" s="46"/>
      <c r="D336" s="46"/>
      <c r="E336" s="46"/>
      <c r="F336" s="140"/>
      <c r="G336" s="140"/>
      <c r="H336" s="140"/>
      <c r="I336" s="140"/>
      <c r="J336" s="140"/>
    </row>
    <row r="337" spans="1:10" ht="21.75" hidden="1" x14ac:dyDescent="0.55000000000000004">
      <c r="A337" s="136"/>
      <c r="B337" s="46"/>
      <c r="C337" s="46"/>
      <c r="D337" s="46"/>
      <c r="E337" s="46"/>
      <c r="F337" s="140"/>
      <c r="G337" s="140"/>
      <c r="H337" s="140"/>
      <c r="I337" s="140"/>
      <c r="J337" s="140"/>
    </row>
    <row r="338" spans="1:10" ht="21.75" hidden="1" x14ac:dyDescent="0.55000000000000004">
      <c r="A338" s="136"/>
      <c r="B338" s="46"/>
      <c r="C338" s="46"/>
      <c r="D338" s="46"/>
      <c r="E338" s="46"/>
      <c r="F338" s="140"/>
      <c r="G338" s="140"/>
      <c r="H338" s="140"/>
      <c r="I338" s="140"/>
      <c r="J338" s="140"/>
    </row>
    <row r="339" spans="1:10" ht="21.75" hidden="1" x14ac:dyDescent="0.55000000000000004">
      <c r="A339" s="136"/>
      <c r="B339" s="46"/>
      <c r="C339" s="46"/>
      <c r="D339" s="46"/>
      <c r="E339" s="46"/>
      <c r="F339" s="140"/>
      <c r="G339" s="140"/>
      <c r="H339" s="140"/>
      <c r="I339" s="140"/>
      <c r="J339" s="140"/>
    </row>
    <row r="340" spans="1:10" ht="21.75" hidden="1" x14ac:dyDescent="0.55000000000000004">
      <c r="A340" s="136"/>
      <c r="B340" s="46"/>
      <c r="C340" s="46"/>
      <c r="D340" s="46"/>
      <c r="E340" s="46"/>
      <c r="F340" s="140"/>
      <c r="G340" s="140"/>
      <c r="H340" s="140"/>
      <c r="I340" s="140"/>
      <c r="J340" s="140"/>
    </row>
    <row r="341" spans="1:10" ht="21.75" hidden="1" x14ac:dyDescent="0.55000000000000004">
      <c r="A341" s="136"/>
      <c r="B341" s="46"/>
      <c r="C341" s="46"/>
      <c r="D341" s="46"/>
      <c r="E341" s="46"/>
      <c r="F341" s="140"/>
      <c r="G341" s="140"/>
      <c r="H341" s="140"/>
      <c r="I341" s="140"/>
      <c r="J341" s="140"/>
    </row>
    <row r="342" spans="1:10" ht="21.75" hidden="1" x14ac:dyDescent="0.55000000000000004">
      <c r="A342" s="136"/>
      <c r="B342" s="46"/>
      <c r="C342" s="46"/>
      <c r="D342" s="46"/>
      <c r="E342" s="46"/>
      <c r="F342" s="140"/>
      <c r="G342" s="140"/>
      <c r="H342" s="140"/>
      <c r="I342" s="140"/>
      <c r="J342" s="140"/>
    </row>
    <row r="343" spans="1:10" ht="21.75" hidden="1" x14ac:dyDescent="0.55000000000000004">
      <c r="A343" s="136"/>
      <c r="B343" s="46"/>
      <c r="C343" s="46"/>
      <c r="D343" s="46"/>
      <c r="E343" s="46"/>
      <c r="F343" s="140"/>
      <c r="G343" s="140"/>
      <c r="H343" s="140"/>
      <c r="I343" s="140"/>
      <c r="J343" s="140"/>
    </row>
    <row r="344" spans="1:10" ht="21.75" hidden="1" x14ac:dyDescent="0.55000000000000004">
      <c r="A344" s="136"/>
      <c r="B344" s="46"/>
      <c r="C344" s="46"/>
      <c r="D344" s="46"/>
      <c r="E344" s="46"/>
      <c r="F344" s="140"/>
      <c r="G344" s="140"/>
      <c r="H344" s="140"/>
      <c r="I344" s="140"/>
      <c r="J344" s="140"/>
    </row>
    <row r="345" spans="1:10" ht="21.75" hidden="1" x14ac:dyDescent="0.55000000000000004">
      <c r="A345" s="136"/>
      <c r="B345" s="46"/>
      <c r="C345" s="46"/>
      <c r="D345" s="46"/>
      <c r="E345" s="46"/>
      <c r="F345" s="140"/>
      <c r="G345" s="140"/>
      <c r="H345" s="140"/>
      <c r="I345" s="140"/>
      <c r="J345" s="140"/>
    </row>
    <row r="346" spans="1:10" ht="21.75" hidden="1" x14ac:dyDescent="0.55000000000000004">
      <c r="A346" s="136"/>
      <c r="B346" s="46"/>
      <c r="C346" s="46"/>
      <c r="D346" s="46"/>
      <c r="E346" s="46"/>
      <c r="F346" s="140"/>
      <c r="G346" s="140"/>
      <c r="H346" s="140"/>
      <c r="I346" s="140"/>
      <c r="J346" s="140"/>
    </row>
    <row r="347" spans="1:10" ht="21.75" hidden="1" x14ac:dyDescent="0.55000000000000004">
      <c r="A347" s="136"/>
      <c r="B347" s="46"/>
      <c r="C347" s="46"/>
      <c r="D347" s="46"/>
      <c r="E347" s="46"/>
      <c r="F347" s="140"/>
      <c r="G347" s="140"/>
      <c r="H347" s="140"/>
      <c r="I347" s="140"/>
      <c r="J347" s="140"/>
    </row>
    <row r="348" spans="1:10" ht="21.75" hidden="1" x14ac:dyDescent="0.55000000000000004">
      <c r="A348" s="136"/>
      <c r="B348" s="46"/>
      <c r="C348" s="46"/>
      <c r="D348" s="46"/>
      <c r="E348" s="46"/>
      <c r="F348" s="140"/>
      <c r="G348" s="140"/>
      <c r="H348" s="140"/>
      <c r="I348" s="140"/>
      <c r="J348" s="140"/>
    </row>
    <row r="349" spans="1:10" ht="21.75" hidden="1" x14ac:dyDescent="0.55000000000000004">
      <c r="A349" s="136"/>
      <c r="B349" s="46"/>
      <c r="C349" s="46"/>
      <c r="D349" s="46"/>
      <c r="E349" s="46"/>
      <c r="F349" s="140"/>
      <c r="G349" s="140"/>
      <c r="H349" s="140"/>
      <c r="I349" s="140"/>
      <c r="J349" s="140"/>
    </row>
    <row r="350" spans="1:10" ht="21.75" hidden="1" x14ac:dyDescent="0.55000000000000004">
      <c r="A350" s="136"/>
      <c r="B350" s="46"/>
      <c r="C350" s="46"/>
      <c r="D350" s="46"/>
      <c r="E350" s="46"/>
      <c r="F350" s="140"/>
      <c r="G350" s="140"/>
      <c r="H350" s="140"/>
      <c r="I350" s="140"/>
      <c r="J350" s="140"/>
    </row>
    <row r="351" spans="1:10" ht="21.75" hidden="1" x14ac:dyDescent="0.55000000000000004">
      <c r="A351" s="136"/>
      <c r="B351" s="46"/>
      <c r="C351" s="46"/>
      <c r="D351" s="46"/>
      <c r="E351" s="46"/>
      <c r="F351" s="140"/>
      <c r="G351" s="140"/>
      <c r="H351" s="140"/>
      <c r="I351" s="140"/>
      <c r="J351" s="140"/>
    </row>
    <row r="352" spans="1:10" ht="21.75" hidden="1" x14ac:dyDescent="0.55000000000000004">
      <c r="A352" s="136"/>
      <c r="B352" s="46"/>
      <c r="C352" s="46"/>
      <c r="D352" s="46"/>
      <c r="E352" s="46"/>
      <c r="F352" s="140"/>
      <c r="G352" s="140"/>
      <c r="H352" s="140"/>
      <c r="I352" s="140"/>
      <c r="J352" s="140"/>
    </row>
    <row r="353" spans="1:10" ht="21.75" hidden="1" x14ac:dyDescent="0.55000000000000004">
      <c r="A353" s="136"/>
      <c r="B353" s="46"/>
      <c r="C353" s="46"/>
      <c r="D353" s="46"/>
      <c r="E353" s="46"/>
      <c r="F353" s="140"/>
      <c r="G353" s="140"/>
      <c r="H353" s="140"/>
      <c r="I353" s="140"/>
      <c r="J353" s="140"/>
    </row>
    <row r="354" spans="1:10" ht="21.75" hidden="1" x14ac:dyDescent="0.55000000000000004">
      <c r="A354" s="136"/>
      <c r="B354" s="46"/>
      <c r="C354" s="46"/>
      <c r="D354" s="46"/>
      <c r="E354" s="46"/>
      <c r="F354" s="140"/>
      <c r="G354" s="140"/>
      <c r="H354" s="140"/>
      <c r="I354" s="140"/>
      <c r="J354" s="140"/>
    </row>
    <row r="355" spans="1:10" ht="21.75" hidden="1" x14ac:dyDescent="0.55000000000000004">
      <c r="A355" s="136"/>
      <c r="B355" s="46"/>
      <c r="C355" s="46"/>
      <c r="D355" s="46"/>
      <c r="E355" s="46"/>
      <c r="F355" s="140"/>
      <c r="G355" s="140"/>
      <c r="H355" s="140"/>
      <c r="I355" s="140"/>
      <c r="J355" s="140"/>
    </row>
    <row r="356" spans="1:10" ht="21.75" hidden="1" x14ac:dyDescent="0.55000000000000004">
      <c r="A356" s="136"/>
      <c r="B356" s="46"/>
      <c r="C356" s="46"/>
      <c r="D356" s="46"/>
      <c r="E356" s="46"/>
      <c r="F356" s="140"/>
      <c r="G356" s="140"/>
      <c r="H356" s="140"/>
      <c r="I356" s="140"/>
      <c r="J356" s="140"/>
    </row>
    <row r="357" spans="1:10" ht="21.75" hidden="1" x14ac:dyDescent="0.55000000000000004">
      <c r="A357" s="136"/>
      <c r="B357" s="46"/>
      <c r="C357" s="46"/>
      <c r="D357" s="46"/>
      <c r="E357" s="46"/>
      <c r="F357" s="140"/>
      <c r="G357" s="140"/>
      <c r="H357" s="140"/>
      <c r="I357" s="140"/>
      <c r="J357" s="140"/>
    </row>
    <row r="358" spans="1:10" ht="21.75" hidden="1" x14ac:dyDescent="0.55000000000000004">
      <c r="A358" s="136"/>
      <c r="B358" s="46"/>
      <c r="C358" s="46"/>
      <c r="D358" s="46"/>
      <c r="E358" s="46"/>
      <c r="F358" s="140"/>
      <c r="G358" s="140"/>
      <c r="H358" s="140"/>
      <c r="I358" s="140"/>
      <c r="J358" s="140"/>
    </row>
    <row r="359" spans="1:10" ht="21.75" hidden="1" x14ac:dyDescent="0.55000000000000004">
      <c r="A359" s="136"/>
      <c r="B359" s="46"/>
      <c r="C359" s="46"/>
      <c r="D359" s="46"/>
      <c r="E359" s="46"/>
      <c r="F359" s="140"/>
      <c r="G359" s="140"/>
      <c r="H359" s="140"/>
      <c r="I359" s="140"/>
      <c r="J359" s="140"/>
    </row>
    <row r="360" spans="1:10" ht="21.75" hidden="1" x14ac:dyDescent="0.55000000000000004">
      <c r="A360" s="136"/>
      <c r="B360" s="46"/>
      <c r="C360" s="46"/>
      <c r="D360" s="46"/>
      <c r="E360" s="46"/>
      <c r="F360" s="140"/>
      <c r="G360" s="140"/>
      <c r="H360" s="140"/>
      <c r="I360" s="140"/>
      <c r="J360" s="140"/>
    </row>
    <row r="361" spans="1:10" ht="21.75" hidden="1" x14ac:dyDescent="0.55000000000000004">
      <c r="A361" s="136"/>
      <c r="B361" s="46"/>
      <c r="C361" s="46"/>
      <c r="D361" s="46"/>
      <c r="E361" s="46"/>
      <c r="F361" s="140"/>
      <c r="G361" s="140"/>
      <c r="H361" s="140"/>
      <c r="I361" s="140"/>
      <c r="J361" s="140"/>
    </row>
    <row r="362" spans="1:10" ht="21.75" hidden="1" x14ac:dyDescent="0.55000000000000004">
      <c r="A362" s="136"/>
      <c r="B362" s="46"/>
      <c r="C362" s="46"/>
      <c r="D362" s="46"/>
      <c r="E362" s="46"/>
      <c r="F362" s="140"/>
      <c r="G362" s="140"/>
      <c r="H362" s="140"/>
      <c r="I362" s="140"/>
      <c r="J362" s="140"/>
    </row>
    <row r="363" spans="1:10" ht="21.75" hidden="1" x14ac:dyDescent="0.55000000000000004">
      <c r="A363" s="136"/>
      <c r="B363" s="46"/>
      <c r="C363" s="46"/>
      <c r="D363" s="46"/>
      <c r="E363" s="46"/>
      <c r="F363" s="140"/>
      <c r="G363" s="140"/>
      <c r="H363" s="140"/>
      <c r="I363" s="140"/>
      <c r="J363" s="140"/>
    </row>
    <row r="364" spans="1:10" ht="21.75" hidden="1" x14ac:dyDescent="0.55000000000000004">
      <c r="A364" s="136"/>
      <c r="B364" s="46"/>
      <c r="C364" s="46"/>
      <c r="D364" s="46"/>
      <c r="E364" s="46"/>
      <c r="F364" s="140"/>
      <c r="G364" s="140"/>
      <c r="H364" s="140"/>
      <c r="I364" s="140"/>
      <c r="J364" s="140"/>
    </row>
    <row r="365" spans="1:10" ht="21.75" hidden="1" x14ac:dyDescent="0.55000000000000004">
      <c r="A365" s="136"/>
      <c r="B365" s="46"/>
      <c r="C365" s="46"/>
      <c r="D365" s="46"/>
      <c r="E365" s="46"/>
      <c r="F365" s="140"/>
      <c r="G365" s="140"/>
      <c r="H365" s="140"/>
      <c r="I365" s="140"/>
      <c r="J365" s="140"/>
    </row>
    <row r="366" spans="1:10" ht="21.75" hidden="1" x14ac:dyDescent="0.55000000000000004">
      <c r="A366" s="136"/>
      <c r="B366" s="46"/>
      <c r="C366" s="46"/>
      <c r="D366" s="46"/>
      <c r="E366" s="46"/>
      <c r="F366" s="140"/>
      <c r="G366" s="140"/>
      <c r="H366" s="140"/>
      <c r="I366" s="140"/>
      <c r="J366" s="140"/>
    </row>
    <row r="367" spans="1:10" ht="21.75" hidden="1" x14ac:dyDescent="0.55000000000000004">
      <c r="A367" s="136"/>
      <c r="B367" s="46"/>
      <c r="C367" s="46"/>
      <c r="D367" s="46"/>
      <c r="E367" s="46"/>
      <c r="F367" s="140"/>
      <c r="G367" s="140"/>
      <c r="H367" s="140"/>
      <c r="I367" s="140"/>
      <c r="J367" s="140"/>
    </row>
    <row r="368" spans="1:10" ht="21.75" hidden="1" x14ac:dyDescent="0.55000000000000004">
      <c r="A368" s="136"/>
      <c r="B368" s="46"/>
      <c r="C368" s="46"/>
      <c r="D368" s="46"/>
      <c r="E368" s="46"/>
      <c r="F368" s="140"/>
      <c r="G368" s="140"/>
      <c r="H368" s="140"/>
      <c r="I368" s="140"/>
      <c r="J368" s="140"/>
    </row>
    <row r="369" spans="1:10" ht="21.75" hidden="1" x14ac:dyDescent="0.55000000000000004">
      <c r="A369" s="136"/>
      <c r="B369" s="46"/>
      <c r="C369" s="46"/>
      <c r="D369" s="46"/>
      <c r="E369" s="46"/>
      <c r="F369" s="140"/>
      <c r="G369" s="140"/>
      <c r="H369" s="140"/>
      <c r="I369" s="140"/>
      <c r="J369" s="140"/>
    </row>
    <row r="370" spans="1:10" ht="21.75" hidden="1" x14ac:dyDescent="0.55000000000000004">
      <c r="A370" s="136"/>
      <c r="B370" s="46"/>
      <c r="C370" s="46"/>
      <c r="D370" s="46"/>
      <c r="E370" s="46"/>
      <c r="F370" s="140"/>
      <c r="G370" s="140"/>
      <c r="H370" s="140"/>
      <c r="I370" s="140"/>
      <c r="J370" s="140"/>
    </row>
    <row r="371" spans="1:10" ht="21.75" hidden="1" x14ac:dyDescent="0.55000000000000004">
      <c r="A371" s="136"/>
      <c r="B371" s="46"/>
      <c r="C371" s="46"/>
      <c r="D371" s="46"/>
      <c r="E371" s="46"/>
      <c r="F371" s="140"/>
      <c r="G371" s="140"/>
      <c r="H371" s="140"/>
      <c r="I371" s="140"/>
      <c r="J371" s="140"/>
    </row>
    <row r="372" spans="1:10" ht="21.75" hidden="1" x14ac:dyDescent="0.55000000000000004">
      <c r="A372" s="136"/>
      <c r="B372" s="46"/>
      <c r="C372" s="46"/>
      <c r="D372" s="46"/>
      <c r="E372" s="46"/>
      <c r="F372" s="140"/>
      <c r="G372" s="140"/>
      <c r="H372" s="140"/>
      <c r="I372" s="140"/>
      <c r="J372" s="140"/>
    </row>
    <row r="373" spans="1:10" ht="21.75" hidden="1" x14ac:dyDescent="0.55000000000000004">
      <c r="A373" s="136"/>
      <c r="B373" s="46"/>
      <c r="C373" s="46"/>
      <c r="D373" s="46"/>
      <c r="E373" s="46"/>
      <c r="F373" s="140"/>
      <c r="G373" s="140"/>
      <c r="H373" s="140"/>
      <c r="I373" s="140"/>
      <c r="J373" s="140"/>
    </row>
    <row r="374" spans="1:10" ht="21.75" hidden="1" x14ac:dyDescent="0.55000000000000004">
      <c r="A374" s="136"/>
      <c r="B374" s="46"/>
      <c r="C374" s="46"/>
      <c r="D374" s="46"/>
      <c r="E374" s="46"/>
      <c r="F374" s="140"/>
      <c r="G374" s="140"/>
      <c r="H374" s="140"/>
      <c r="I374" s="140"/>
      <c r="J374" s="140"/>
    </row>
    <row r="375" spans="1:10" ht="21.75" hidden="1" x14ac:dyDescent="0.55000000000000004">
      <c r="A375" s="136"/>
      <c r="B375" s="46"/>
      <c r="C375" s="46"/>
      <c r="D375" s="46"/>
      <c r="E375" s="46"/>
      <c r="F375" s="140"/>
      <c r="G375" s="140"/>
      <c r="H375" s="140"/>
      <c r="I375" s="140"/>
      <c r="J375" s="140"/>
    </row>
    <row r="376" spans="1:10" ht="21.75" hidden="1" x14ac:dyDescent="0.55000000000000004">
      <c r="A376" s="136"/>
      <c r="B376" s="46"/>
      <c r="C376" s="46"/>
      <c r="D376" s="46"/>
      <c r="E376" s="46"/>
      <c r="F376" s="140"/>
      <c r="G376" s="140"/>
      <c r="H376" s="140"/>
      <c r="I376" s="140"/>
      <c r="J376" s="140"/>
    </row>
    <row r="377" spans="1:10" ht="21.75" hidden="1" x14ac:dyDescent="0.55000000000000004">
      <c r="A377" s="136"/>
      <c r="B377" s="46"/>
      <c r="C377" s="46"/>
      <c r="D377" s="46"/>
      <c r="E377" s="46"/>
      <c r="F377" s="140"/>
      <c r="G377" s="140"/>
      <c r="H377" s="140"/>
      <c r="I377" s="140"/>
      <c r="J377" s="140"/>
    </row>
    <row r="378" spans="1:10" ht="21.75" hidden="1" x14ac:dyDescent="0.55000000000000004">
      <c r="A378" s="136"/>
      <c r="B378" s="46"/>
      <c r="C378" s="46"/>
      <c r="D378" s="46"/>
      <c r="E378" s="46"/>
      <c r="F378" s="140"/>
      <c r="G378" s="140"/>
      <c r="H378" s="140"/>
      <c r="I378" s="140"/>
      <c r="J378" s="140"/>
    </row>
    <row r="379" spans="1:10" ht="21.75" hidden="1" x14ac:dyDescent="0.55000000000000004">
      <c r="A379" s="136"/>
      <c r="B379" s="46"/>
      <c r="C379" s="46"/>
      <c r="D379" s="46"/>
      <c r="E379" s="46"/>
      <c r="F379" s="140"/>
      <c r="G379" s="140"/>
      <c r="H379" s="140"/>
      <c r="I379" s="140"/>
      <c r="J379" s="140"/>
    </row>
    <row r="380" spans="1:10" ht="21.75" hidden="1" x14ac:dyDescent="0.55000000000000004">
      <c r="A380" s="136"/>
      <c r="B380" s="46"/>
      <c r="C380" s="46"/>
      <c r="D380" s="46"/>
      <c r="E380" s="46"/>
      <c r="F380" s="140"/>
      <c r="G380" s="140"/>
      <c r="H380" s="140"/>
      <c r="I380" s="140"/>
      <c r="J380" s="140"/>
    </row>
    <row r="381" spans="1:10" ht="21.75" hidden="1" x14ac:dyDescent="0.55000000000000004">
      <c r="A381" s="136"/>
      <c r="B381" s="46"/>
      <c r="C381" s="46"/>
      <c r="D381" s="46"/>
      <c r="E381" s="46"/>
      <c r="F381" s="140"/>
      <c r="G381" s="140"/>
      <c r="H381" s="140"/>
      <c r="I381" s="140"/>
      <c r="J381" s="140"/>
    </row>
    <row r="382" spans="1:10" ht="21.75" hidden="1" x14ac:dyDescent="0.55000000000000004">
      <c r="A382" s="136"/>
      <c r="B382" s="46"/>
      <c r="C382" s="46"/>
      <c r="D382" s="46"/>
      <c r="E382" s="46"/>
      <c r="F382" s="140"/>
      <c r="G382" s="140"/>
      <c r="H382" s="140"/>
      <c r="I382" s="140"/>
      <c r="J382" s="140"/>
    </row>
    <row r="383" spans="1:10" ht="21.75" hidden="1" x14ac:dyDescent="0.55000000000000004">
      <c r="A383" s="136"/>
      <c r="B383" s="46"/>
      <c r="C383" s="46"/>
      <c r="D383" s="46"/>
      <c r="E383" s="46"/>
      <c r="F383" s="140"/>
      <c r="G383" s="140"/>
      <c r="H383" s="140"/>
      <c r="I383" s="140"/>
      <c r="J383" s="140"/>
    </row>
    <row r="384" spans="1:10" ht="21.75" hidden="1" x14ac:dyDescent="0.55000000000000004">
      <c r="A384" s="136"/>
      <c r="B384" s="46"/>
      <c r="C384" s="46"/>
      <c r="D384" s="46"/>
      <c r="E384" s="46"/>
      <c r="F384" s="140"/>
      <c r="G384" s="140"/>
      <c r="H384" s="140"/>
      <c r="I384" s="140"/>
      <c r="J384" s="140"/>
    </row>
    <row r="385" spans="1:10" ht="21.75" hidden="1" x14ac:dyDescent="0.55000000000000004">
      <c r="A385" s="136"/>
      <c r="B385" s="46"/>
      <c r="C385" s="46"/>
      <c r="D385" s="46"/>
      <c r="E385" s="46"/>
      <c r="F385" s="140"/>
      <c r="G385" s="140"/>
      <c r="H385" s="140"/>
      <c r="I385" s="140"/>
      <c r="J385" s="140"/>
    </row>
    <row r="386" spans="1:10" ht="21.75" hidden="1" x14ac:dyDescent="0.55000000000000004">
      <c r="A386" s="136"/>
      <c r="B386" s="46"/>
      <c r="C386" s="46"/>
      <c r="D386" s="46"/>
      <c r="E386" s="46"/>
      <c r="F386" s="140"/>
      <c r="G386" s="140"/>
      <c r="H386" s="140"/>
      <c r="I386" s="140"/>
      <c r="J386" s="140"/>
    </row>
    <row r="387" spans="1:10" ht="21.75" hidden="1" x14ac:dyDescent="0.55000000000000004">
      <c r="A387" s="136"/>
      <c r="B387" s="46"/>
      <c r="C387" s="46"/>
      <c r="D387" s="46"/>
      <c r="E387" s="46"/>
      <c r="F387" s="140"/>
      <c r="G387" s="140"/>
      <c r="H387" s="140"/>
      <c r="I387" s="140"/>
      <c r="J387" s="140"/>
    </row>
    <row r="388" spans="1:10" ht="21.75" hidden="1" x14ac:dyDescent="0.55000000000000004">
      <c r="A388" s="136"/>
      <c r="B388" s="46"/>
      <c r="C388" s="46"/>
      <c r="D388" s="46"/>
      <c r="E388" s="46"/>
      <c r="F388" s="140"/>
      <c r="G388" s="140"/>
      <c r="H388" s="140"/>
      <c r="I388" s="140"/>
      <c r="J388" s="140"/>
    </row>
    <row r="389" spans="1:10" ht="21.75" hidden="1" x14ac:dyDescent="0.55000000000000004">
      <c r="A389" s="136"/>
      <c r="B389" s="46"/>
      <c r="C389" s="46"/>
      <c r="D389" s="46"/>
      <c r="E389" s="46"/>
      <c r="F389" s="140"/>
      <c r="G389" s="140"/>
      <c r="H389" s="140"/>
      <c r="I389" s="140"/>
      <c r="J389" s="140"/>
    </row>
    <row r="390" spans="1:10" ht="21.75" hidden="1" x14ac:dyDescent="0.55000000000000004">
      <c r="A390" s="136"/>
      <c r="B390" s="46"/>
      <c r="C390" s="46"/>
      <c r="D390" s="46"/>
      <c r="E390" s="46"/>
      <c r="F390" s="140"/>
      <c r="G390" s="140"/>
      <c r="H390" s="140"/>
      <c r="I390" s="140"/>
      <c r="J390" s="140"/>
    </row>
    <row r="391" spans="1:10" ht="21.75" hidden="1" x14ac:dyDescent="0.55000000000000004">
      <c r="A391" s="136"/>
      <c r="B391" s="46"/>
      <c r="C391" s="46"/>
      <c r="D391" s="46"/>
      <c r="E391" s="46"/>
      <c r="F391" s="140"/>
      <c r="G391" s="140"/>
      <c r="H391" s="140"/>
      <c r="I391" s="140"/>
      <c r="J391" s="140"/>
    </row>
    <row r="392" spans="1:10" ht="21.75" hidden="1" x14ac:dyDescent="0.55000000000000004">
      <c r="A392" s="136"/>
      <c r="B392" s="46"/>
      <c r="C392" s="46"/>
      <c r="D392" s="46"/>
      <c r="E392" s="46"/>
      <c r="F392" s="140"/>
      <c r="G392" s="140"/>
      <c r="H392" s="140"/>
      <c r="I392" s="140"/>
      <c r="J392" s="140"/>
    </row>
    <row r="393" spans="1:10" ht="21.75" hidden="1" x14ac:dyDescent="0.55000000000000004">
      <c r="A393" s="136"/>
      <c r="B393" s="46"/>
      <c r="C393" s="46"/>
      <c r="D393" s="46"/>
      <c r="E393" s="46"/>
      <c r="F393" s="140"/>
      <c r="G393" s="140"/>
      <c r="H393" s="140"/>
      <c r="I393" s="140"/>
      <c r="J393" s="140"/>
    </row>
    <row r="394" spans="1:10" ht="21.75" hidden="1" x14ac:dyDescent="0.55000000000000004">
      <c r="A394" s="136"/>
      <c r="B394" s="46"/>
      <c r="C394" s="46"/>
      <c r="D394" s="46"/>
      <c r="E394" s="46"/>
      <c r="F394" s="140"/>
      <c r="G394" s="140"/>
      <c r="H394" s="140"/>
      <c r="I394" s="140"/>
      <c r="J394" s="140"/>
    </row>
    <row r="395" spans="1:10" ht="21.75" hidden="1" x14ac:dyDescent="0.55000000000000004">
      <c r="A395" s="136"/>
      <c r="B395" s="46"/>
      <c r="C395" s="46"/>
      <c r="D395" s="46"/>
      <c r="E395" s="46"/>
      <c r="F395" s="140"/>
      <c r="G395" s="140"/>
      <c r="H395" s="140"/>
      <c r="I395" s="140"/>
      <c r="J395" s="140"/>
    </row>
    <row r="396" spans="1:10" ht="21.75" hidden="1" x14ac:dyDescent="0.55000000000000004">
      <c r="A396" s="136"/>
      <c r="B396" s="46"/>
      <c r="C396" s="46"/>
      <c r="D396" s="46"/>
      <c r="E396" s="46"/>
      <c r="F396" s="140"/>
      <c r="G396" s="140"/>
      <c r="H396" s="140"/>
      <c r="I396" s="140"/>
      <c r="J396" s="140"/>
    </row>
    <row r="397" spans="1:10" ht="21.75" hidden="1" x14ac:dyDescent="0.55000000000000004">
      <c r="A397" s="136"/>
      <c r="B397" s="46"/>
      <c r="C397" s="46"/>
      <c r="D397" s="46"/>
      <c r="E397" s="46"/>
      <c r="F397" s="140"/>
      <c r="G397" s="140"/>
      <c r="H397" s="140"/>
      <c r="I397" s="140"/>
      <c r="J397" s="140"/>
    </row>
    <row r="398" spans="1:10" ht="21.75" hidden="1" x14ac:dyDescent="0.55000000000000004">
      <c r="A398" s="136"/>
      <c r="B398" s="46"/>
      <c r="C398" s="46"/>
      <c r="D398" s="46"/>
      <c r="E398" s="46"/>
      <c r="F398" s="140"/>
      <c r="G398" s="140"/>
      <c r="H398" s="140"/>
      <c r="I398" s="140"/>
      <c r="J398" s="140"/>
    </row>
    <row r="399" spans="1:10" ht="21.75" hidden="1" x14ac:dyDescent="0.55000000000000004">
      <c r="A399" s="136"/>
      <c r="B399" s="46"/>
      <c r="C399" s="46"/>
      <c r="D399" s="46"/>
      <c r="E399" s="46"/>
      <c r="F399" s="140"/>
      <c r="G399" s="140"/>
      <c r="H399" s="140"/>
      <c r="I399" s="140"/>
      <c r="J399" s="140"/>
    </row>
    <row r="400" spans="1:10" ht="21.75" hidden="1" x14ac:dyDescent="0.55000000000000004">
      <c r="A400" s="136"/>
      <c r="B400" s="46"/>
      <c r="C400" s="46"/>
      <c r="D400" s="46"/>
      <c r="E400" s="46"/>
      <c r="F400" s="140"/>
      <c r="G400" s="140"/>
      <c r="H400" s="140"/>
      <c r="I400" s="140"/>
      <c r="J400" s="140"/>
    </row>
    <row r="401" spans="1:10" ht="21.75" hidden="1" x14ac:dyDescent="0.55000000000000004">
      <c r="A401" s="136"/>
      <c r="B401" s="46"/>
      <c r="C401" s="46"/>
      <c r="D401" s="46"/>
      <c r="E401" s="46"/>
      <c r="F401" s="140"/>
      <c r="G401" s="140"/>
      <c r="H401" s="140"/>
      <c r="I401" s="140"/>
      <c r="J401" s="140"/>
    </row>
    <row r="402" spans="1:10" ht="21.75" hidden="1" x14ac:dyDescent="0.55000000000000004">
      <c r="A402" s="136"/>
      <c r="B402" s="46"/>
      <c r="C402" s="46"/>
      <c r="D402" s="46"/>
      <c r="E402" s="46"/>
      <c r="F402" s="140"/>
      <c r="G402" s="140"/>
      <c r="H402" s="140"/>
      <c r="I402" s="140"/>
      <c r="J402" s="140"/>
    </row>
    <row r="403" spans="1:10" ht="21.75" hidden="1" x14ac:dyDescent="0.55000000000000004">
      <c r="A403" s="136"/>
      <c r="B403" s="46"/>
      <c r="C403" s="46"/>
      <c r="D403" s="46"/>
      <c r="E403" s="46"/>
      <c r="F403" s="140"/>
      <c r="G403" s="140"/>
      <c r="H403" s="140"/>
      <c r="I403" s="140"/>
      <c r="J403" s="140"/>
    </row>
    <row r="404" spans="1:10" ht="21.75" hidden="1" x14ac:dyDescent="0.55000000000000004">
      <c r="A404" s="136"/>
      <c r="B404" s="46"/>
      <c r="C404" s="46"/>
      <c r="D404" s="46"/>
      <c r="E404" s="46"/>
      <c r="F404" s="140"/>
      <c r="G404" s="140"/>
      <c r="H404" s="140"/>
      <c r="I404" s="140"/>
      <c r="J404" s="140"/>
    </row>
    <row r="405" spans="1:10" ht="21.75" hidden="1" x14ac:dyDescent="0.55000000000000004">
      <c r="A405" s="136"/>
      <c r="B405" s="46"/>
      <c r="C405" s="46"/>
      <c r="D405" s="46"/>
      <c r="E405" s="46"/>
      <c r="F405" s="140"/>
      <c r="G405" s="140"/>
      <c r="H405" s="140"/>
      <c r="I405" s="140"/>
      <c r="J405" s="140"/>
    </row>
    <row r="406" spans="1:10" ht="21.75" hidden="1" x14ac:dyDescent="0.55000000000000004">
      <c r="A406" s="136"/>
      <c r="B406" s="46"/>
      <c r="C406" s="46"/>
      <c r="D406" s="46"/>
      <c r="E406" s="46"/>
      <c r="F406" s="140"/>
      <c r="G406" s="140"/>
      <c r="H406" s="140"/>
      <c r="I406" s="140"/>
      <c r="J406" s="140"/>
    </row>
    <row r="407" spans="1:10" ht="21.75" hidden="1" x14ac:dyDescent="0.55000000000000004">
      <c r="A407" s="136"/>
      <c r="B407" s="46"/>
      <c r="C407" s="46"/>
      <c r="D407" s="46"/>
      <c r="E407" s="46"/>
      <c r="F407" s="140"/>
      <c r="G407" s="140"/>
      <c r="H407" s="140"/>
      <c r="I407" s="140"/>
      <c r="J407" s="140"/>
    </row>
    <row r="408" spans="1:10" ht="21.75" hidden="1" x14ac:dyDescent="0.55000000000000004">
      <c r="A408" s="136"/>
      <c r="B408" s="46"/>
      <c r="C408" s="46"/>
      <c r="D408" s="46"/>
      <c r="E408" s="46"/>
      <c r="F408" s="140"/>
      <c r="G408" s="140"/>
      <c r="H408" s="140"/>
      <c r="I408" s="140"/>
      <c r="J408" s="140"/>
    </row>
    <row r="409" spans="1:10" ht="21.75" hidden="1" x14ac:dyDescent="0.55000000000000004">
      <c r="A409" s="136"/>
      <c r="B409" s="46"/>
      <c r="C409" s="46"/>
      <c r="D409" s="46"/>
      <c r="E409" s="46"/>
      <c r="F409" s="140"/>
      <c r="G409" s="140"/>
      <c r="H409" s="140"/>
      <c r="I409" s="140"/>
      <c r="J409" s="140"/>
    </row>
    <row r="410" spans="1:10" ht="21.75" hidden="1" x14ac:dyDescent="0.55000000000000004">
      <c r="A410" s="136"/>
      <c r="B410" s="46"/>
      <c r="C410" s="46"/>
      <c r="D410" s="46"/>
      <c r="E410" s="46"/>
      <c r="F410" s="140"/>
      <c r="G410" s="140"/>
      <c r="H410" s="140"/>
      <c r="I410" s="140"/>
      <c r="J410" s="140"/>
    </row>
    <row r="411" spans="1:10" ht="21.75" hidden="1" x14ac:dyDescent="0.55000000000000004">
      <c r="A411" s="136"/>
      <c r="B411" s="46"/>
      <c r="C411" s="46"/>
      <c r="D411" s="46"/>
      <c r="E411" s="46"/>
      <c r="F411" s="140"/>
      <c r="G411" s="140"/>
      <c r="H411" s="140"/>
      <c r="I411" s="140"/>
      <c r="J411" s="140"/>
    </row>
    <row r="412" spans="1:10" ht="21.75" hidden="1" x14ac:dyDescent="0.55000000000000004">
      <c r="A412" s="136"/>
      <c r="B412" s="46"/>
      <c r="C412" s="46"/>
      <c r="D412" s="46"/>
      <c r="E412" s="46"/>
      <c r="F412" s="140"/>
      <c r="G412" s="140"/>
      <c r="H412" s="140"/>
      <c r="I412" s="140"/>
      <c r="J412" s="140"/>
    </row>
    <row r="413" spans="1:10" ht="21.75" hidden="1" x14ac:dyDescent="0.55000000000000004">
      <c r="A413" s="136"/>
      <c r="B413" s="46"/>
      <c r="C413" s="46"/>
      <c r="D413" s="46"/>
      <c r="E413" s="46"/>
      <c r="F413" s="140"/>
      <c r="G413" s="140"/>
      <c r="H413" s="140"/>
      <c r="I413" s="140"/>
      <c r="J413" s="140"/>
    </row>
    <row r="414" spans="1:10" ht="21.75" hidden="1" x14ac:dyDescent="0.55000000000000004">
      <c r="A414" s="136"/>
      <c r="B414" s="46"/>
      <c r="C414" s="46"/>
      <c r="D414" s="46"/>
      <c r="E414" s="46"/>
      <c r="F414" s="140"/>
      <c r="G414" s="140"/>
      <c r="H414" s="140"/>
      <c r="I414" s="140"/>
      <c r="J414" s="140"/>
    </row>
    <row r="415" spans="1:10" ht="21.75" hidden="1" x14ac:dyDescent="0.55000000000000004">
      <c r="A415" s="136"/>
      <c r="B415" s="46"/>
      <c r="C415" s="46"/>
      <c r="D415" s="46"/>
      <c r="E415" s="46"/>
      <c r="F415" s="140"/>
      <c r="G415" s="140"/>
      <c r="H415" s="140"/>
      <c r="I415" s="140"/>
      <c r="J415" s="140"/>
    </row>
    <row r="416" spans="1:10" ht="21.75" hidden="1" x14ac:dyDescent="0.55000000000000004">
      <c r="A416" s="136"/>
      <c r="B416" s="46"/>
      <c r="C416" s="46"/>
      <c r="D416" s="46"/>
      <c r="E416" s="46"/>
      <c r="F416" s="140"/>
      <c r="G416" s="140"/>
      <c r="H416" s="140"/>
      <c r="I416" s="140"/>
      <c r="J416" s="140"/>
    </row>
    <row r="417" spans="1:10" ht="21.75" hidden="1" x14ac:dyDescent="0.55000000000000004">
      <c r="A417" s="136"/>
      <c r="B417" s="46"/>
      <c r="C417" s="46"/>
      <c r="D417" s="46"/>
      <c r="E417" s="46"/>
      <c r="F417" s="140"/>
      <c r="G417" s="140"/>
      <c r="H417" s="140"/>
      <c r="I417" s="140"/>
      <c r="J417" s="140"/>
    </row>
    <row r="418" spans="1:10" ht="21.75" hidden="1" x14ac:dyDescent="0.55000000000000004">
      <c r="A418" s="136"/>
      <c r="B418" s="46"/>
      <c r="C418" s="46"/>
      <c r="D418" s="46"/>
      <c r="E418" s="46"/>
      <c r="F418" s="140"/>
      <c r="G418" s="140"/>
      <c r="H418" s="140"/>
      <c r="I418" s="140"/>
      <c r="J418" s="140"/>
    </row>
    <row r="419" spans="1:10" ht="21.75" hidden="1" x14ac:dyDescent="0.55000000000000004">
      <c r="A419" s="136"/>
      <c r="B419" s="46"/>
      <c r="C419" s="46"/>
      <c r="D419" s="46"/>
      <c r="E419" s="46"/>
      <c r="F419" s="140"/>
      <c r="G419" s="140"/>
      <c r="H419" s="140"/>
      <c r="I419" s="140"/>
      <c r="J419" s="140"/>
    </row>
    <row r="420" spans="1:10" ht="21.75" hidden="1" x14ac:dyDescent="0.55000000000000004">
      <c r="A420" s="136"/>
      <c r="B420" s="46"/>
      <c r="C420" s="46"/>
      <c r="D420" s="46"/>
      <c r="E420" s="46"/>
      <c r="F420" s="140"/>
      <c r="G420" s="140"/>
      <c r="H420" s="140"/>
      <c r="I420" s="140"/>
      <c r="J420" s="140"/>
    </row>
    <row r="421" spans="1:10" ht="21.75" hidden="1" x14ac:dyDescent="0.55000000000000004">
      <c r="A421" s="136"/>
      <c r="B421" s="46"/>
      <c r="C421" s="46"/>
      <c r="D421" s="46"/>
      <c r="E421" s="46"/>
      <c r="F421" s="140"/>
      <c r="G421" s="140"/>
      <c r="H421" s="140"/>
      <c r="I421" s="140"/>
      <c r="J421" s="140"/>
    </row>
    <row r="422" spans="1:10" ht="21.75" hidden="1" x14ac:dyDescent="0.55000000000000004">
      <c r="A422" s="136"/>
      <c r="B422" s="46"/>
      <c r="C422" s="46"/>
      <c r="D422" s="46"/>
      <c r="E422" s="46"/>
      <c r="F422" s="140"/>
      <c r="G422" s="140"/>
      <c r="H422" s="140"/>
      <c r="I422" s="140"/>
      <c r="J422" s="140"/>
    </row>
    <row r="423" spans="1:10" ht="21.75" hidden="1" x14ac:dyDescent="0.55000000000000004">
      <c r="A423" s="136"/>
      <c r="B423" s="46"/>
      <c r="C423" s="46"/>
      <c r="D423" s="46"/>
      <c r="E423" s="46"/>
      <c r="F423" s="140"/>
      <c r="G423" s="140"/>
      <c r="H423" s="140"/>
      <c r="I423" s="140"/>
      <c r="J423" s="140"/>
    </row>
    <row r="424" spans="1:10" ht="21.75" hidden="1" x14ac:dyDescent="0.55000000000000004">
      <c r="A424" s="136"/>
      <c r="B424" s="46"/>
      <c r="C424" s="46"/>
      <c r="D424" s="46"/>
      <c r="E424" s="46"/>
      <c r="F424" s="140"/>
      <c r="G424" s="140"/>
      <c r="H424" s="140"/>
      <c r="I424" s="140"/>
      <c r="J424" s="140"/>
    </row>
    <row r="425" spans="1:10" ht="21.75" hidden="1" x14ac:dyDescent="0.55000000000000004">
      <c r="A425" s="136"/>
      <c r="B425" s="46"/>
      <c r="C425" s="46"/>
      <c r="D425" s="46"/>
      <c r="E425" s="46"/>
      <c r="F425" s="140"/>
      <c r="G425" s="140"/>
      <c r="H425" s="140"/>
      <c r="I425" s="140"/>
      <c r="J425" s="140"/>
    </row>
    <row r="426" spans="1:10" ht="21.75" hidden="1" x14ac:dyDescent="0.55000000000000004">
      <c r="A426" s="136"/>
      <c r="B426" s="46"/>
      <c r="C426" s="46"/>
      <c r="D426" s="46"/>
      <c r="E426" s="46"/>
      <c r="F426" s="140"/>
      <c r="G426" s="140"/>
      <c r="H426" s="140"/>
      <c r="I426" s="140"/>
      <c r="J426" s="140"/>
    </row>
    <row r="427" spans="1:10" ht="21.75" hidden="1" x14ac:dyDescent="0.55000000000000004">
      <c r="A427" s="136"/>
      <c r="B427" s="46"/>
      <c r="C427" s="46"/>
      <c r="D427" s="46"/>
      <c r="E427" s="46"/>
      <c r="F427" s="140"/>
      <c r="G427" s="140"/>
      <c r="H427" s="140"/>
      <c r="I427" s="140"/>
      <c r="J427" s="140"/>
    </row>
    <row r="428" spans="1:10" ht="21.75" hidden="1" x14ac:dyDescent="0.55000000000000004">
      <c r="A428" s="136"/>
      <c r="B428" s="46"/>
      <c r="C428" s="46"/>
      <c r="D428" s="46"/>
      <c r="E428" s="46"/>
      <c r="F428" s="140"/>
      <c r="G428" s="140"/>
      <c r="H428" s="140"/>
      <c r="I428" s="140"/>
      <c r="J428" s="140"/>
    </row>
    <row r="429" spans="1:10" ht="21.75" hidden="1" x14ac:dyDescent="0.55000000000000004">
      <c r="A429" s="136"/>
      <c r="B429" s="46"/>
      <c r="C429" s="46"/>
      <c r="D429" s="46"/>
      <c r="E429" s="46"/>
      <c r="F429" s="140"/>
      <c r="G429" s="140"/>
      <c r="H429" s="140"/>
      <c r="I429" s="140"/>
      <c r="J429" s="140"/>
    </row>
    <row r="430" spans="1:10" ht="21.75" hidden="1" x14ac:dyDescent="0.55000000000000004">
      <c r="A430" s="136"/>
      <c r="B430" s="46"/>
      <c r="C430" s="46"/>
      <c r="D430" s="46"/>
      <c r="E430" s="46"/>
      <c r="F430" s="140"/>
      <c r="G430" s="140"/>
      <c r="H430" s="140"/>
      <c r="I430" s="140"/>
      <c r="J430" s="140"/>
    </row>
    <row r="431" spans="1:10" ht="21.75" hidden="1" x14ac:dyDescent="0.55000000000000004">
      <c r="A431" s="136"/>
      <c r="B431" s="46"/>
      <c r="C431" s="46"/>
      <c r="D431" s="46"/>
      <c r="E431" s="46"/>
      <c r="F431" s="140"/>
      <c r="G431" s="140"/>
      <c r="H431" s="140"/>
      <c r="I431" s="140"/>
      <c r="J431" s="140"/>
    </row>
    <row r="432" spans="1:10" ht="21.75" hidden="1" x14ac:dyDescent="0.55000000000000004">
      <c r="A432" s="136"/>
      <c r="B432" s="46"/>
      <c r="C432" s="46"/>
      <c r="D432" s="46"/>
      <c r="E432" s="46"/>
      <c r="F432" s="140"/>
      <c r="G432" s="140"/>
      <c r="H432" s="140"/>
      <c r="I432" s="140"/>
      <c r="J432" s="140"/>
    </row>
    <row r="433" spans="1:10" ht="21.75" hidden="1" x14ac:dyDescent="0.55000000000000004">
      <c r="A433" s="136"/>
      <c r="B433" s="46"/>
      <c r="C433" s="46"/>
      <c r="D433" s="46"/>
      <c r="E433" s="46"/>
      <c r="F433" s="140"/>
      <c r="G433" s="140"/>
      <c r="H433" s="140"/>
      <c r="I433" s="140"/>
      <c r="J433" s="140"/>
    </row>
    <row r="434" spans="1:10" ht="21.75" hidden="1" x14ac:dyDescent="0.55000000000000004">
      <c r="A434" s="136"/>
      <c r="B434" s="46"/>
      <c r="C434" s="46"/>
      <c r="D434" s="46"/>
      <c r="E434" s="46"/>
      <c r="F434" s="140"/>
      <c r="G434" s="140"/>
      <c r="H434" s="140"/>
      <c r="I434" s="140"/>
      <c r="J434" s="140"/>
    </row>
    <row r="435" spans="1:10" ht="21.75" hidden="1" x14ac:dyDescent="0.55000000000000004">
      <c r="A435" s="136"/>
      <c r="B435" s="46"/>
      <c r="C435" s="46"/>
      <c r="D435" s="46"/>
      <c r="E435" s="46"/>
      <c r="F435" s="140"/>
      <c r="G435" s="140"/>
      <c r="H435" s="140"/>
      <c r="I435" s="140"/>
      <c r="J435" s="140"/>
    </row>
    <row r="436" spans="1:10" ht="21.75" hidden="1" x14ac:dyDescent="0.55000000000000004">
      <c r="A436" s="136"/>
      <c r="B436" s="46"/>
      <c r="C436" s="46"/>
      <c r="D436" s="46"/>
      <c r="E436" s="46"/>
      <c r="F436" s="140"/>
      <c r="G436" s="140"/>
      <c r="H436" s="140"/>
      <c r="I436" s="140"/>
      <c r="J436" s="140"/>
    </row>
    <row r="437" spans="1:10" ht="21.75" hidden="1" x14ac:dyDescent="0.55000000000000004">
      <c r="A437" s="136"/>
      <c r="B437" s="46"/>
      <c r="C437" s="46"/>
      <c r="D437" s="46"/>
      <c r="E437" s="46"/>
      <c r="F437" s="140"/>
      <c r="G437" s="140"/>
      <c r="H437" s="140"/>
      <c r="I437" s="140"/>
      <c r="J437" s="140"/>
    </row>
    <row r="438" spans="1:10" ht="21.75" hidden="1" x14ac:dyDescent="0.55000000000000004">
      <c r="A438" s="136"/>
      <c r="B438" s="46"/>
      <c r="C438" s="46"/>
      <c r="D438" s="46"/>
      <c r="E438" s="46"/>
      <c r="F438" s="140"/>
      <c r="G438" s="140"/>
      <c r="H438" s="140"/>
      <c r="I438" s="140"/>
      <c r="J438" s="140"/>
    </row>
    <row r="439" spans="1:10" ht="21.75" hidden="1" x14ac:dyDescent="0.55000000000000004">
      <c r="A439" s="136"/>
      <c r="B439" s="46"/>
      <c r="C439" s="46"/>
      <c r="D439" s="46"/>
      <c r="E439" s="46"/>
      <c r="F439" s="140"/>
      <c r="G439" s="140"/>
      <c r="H439" s="140"/>
      <c r="I439" s="140"/>
      <c r="J439" s="140"/>
    </row>
    <row r="440" spans="1:10" ht="21.75" hidden="1" x14ac:dyDescent="0.55000000000000004">
      <c r="A440" s="136"/>
      <c r="B440" s="46"/>
      <c r="C440" s="46"/>
      <c r="D440" s="46"/>
      <c r="E440" s="46"/>
      <c r="F440" s="140"/>
      <c r="G440" s="140"/>
      <c r="H440" s="140"/>
      <c r="I440" s="140"/>
      <c r="J440" s="140"/>
    </row>
    <row r="441" spans="1:10" ht="21.75" hidden="1" x14ac:dyDescent="0.55000000000000004">
      <c r="A441" s="136"/>
      <c r="B441" s="46"/>
      <c r="C441" s="46"/>
      <c r="D441" s="46"/>
      <c r="E441" s="46"/>
      <c r="F441" s="140"/>
      <c r="G441" s="140"/>
      <c r="H441" s="140"/>
      <c r="I441" s="140"/>
      <c r="J441" s="140"/>
    </row>
    <row r="442" spans="1:10" ht="21.75" hidden="1" x14ac:dyDescent="0.55000000000000004">
      <c r="A442" s="136"/>
      <c r="B442" s="46"/>
      <c r="C442" s="46"/>
      <c r="D442" s="46"/>
      <c r="E442" s="46"/>
      <c r="F442" s="140"/>
      <c r="G442" s="140"/>
      <c r="H442" s="140"/>
      <c r="I442" s="140"/>
      <c r="J442" s="140"/>
    </row>
    <row r="443" spans="1:10" ht="21.75" hidden="1" x14ac:dyDescent="0.55000000000000004">
      <c r="A443" s="136"/>
      <c r="B443" s="46"/>
      <c r="C443" s="46"/>
      <c r="D443" s="46"/>
      <c r="E443" s="46"/>
      <c r="F443" s="140"/>
      <c r="G443" s="140"/>
      <c r="H443" s="140"/>
      <c r="I443" s="140"/>
      <c r="J443" s="140"/>
    </row>
    <row r="444" spans="1:10" ht="21.75" hidden="1" x14ac:dyDescent="0.55000000000000004">
      <c r="A444" s="136"/>
      <c r="B444" s="46"/>
      <c r="C444" s="46"/>
      <c r="D444" s="46"/>
      <c r="E444" s="46"/>
      <c r="F444" s="140"/>
      <c r="G444" s="140"/>
      <c r="H444" s="140"/>
      <c r="I444" s="140"/>
      <c r="J444" s="140"/>
    </row>
    <row r="445" spans="1:10" ht="21.75" hidden="1" x14ac:dyDescent="0.55000000000000004">
      <c r="A445" s="136"/>
      <c r="B445" s="46"/>
      <c r="C445" s="46"/>
      <c r="D445" s="46"/>
      <c r="E445" s="46"/>
      <c r="F445" s="140"/>
      <c r="G445" s="140"/>
      <c r="H445" s="140"/>
      <c r="I445" s="140"/>
      <c r="J445" s="140"/>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D205C9F-71DF-4670-AAE0-8EFCA1AA860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vt:i4>
      </vt:variant>
    </vt:vector>
  </HeadingPairs>
  <TitlesOfParts>
    <vt:vector size="25" baseType="lpstr">
      <vt:lpstr>Supplier (COA)</vt:lpstr>
      <vt:lpstr>Armax Engine Oil</vt:lpstr>
      <vt:lpstr>Aspire Aim Machinery</vt:lpstr>
      <vt:lpstr>Aung Myit Tar</vt:lpstr>
      <vt:lpstr>GBS Co, LTD Tricycle</vt:lpstr>
      <vt:lpstr>Delita International Limited</vt:lpstr>
      <vt:lpstr>GBS Co, LTD Engine</vt:lpstr>
      <vt:lpstr>GBS Spare</vt:lpstr>
      <vt:lpstr>Ko Win Hlaing</vt:lpstr>
      <vt:lpstr>Kyinn Loon Myanmar</vt:lpstr>
      <vt:lpstr>Ma Au Bin</vt:lpstr>
      <vt:lpstr>Mann Ayawadi</vt:lpstr>
      <vt:lpstr>MDL Tricycle Spare</vt:lpstr>
      <vt:lpstr>Moe Thauk Ayar</vt:lpstr>
      <vt:lpstr>Sein Wut Hmon Co, LTD</vt:lpstr>
      <vt:lpstr>Shwe Than Lwin</vt:lpstr>
      <vt:lpstr>Shwe Yar Su</vt:lpstr>
      <vt:lpstr>Super</vt:lpstr>
      <vt:lpstr>Tat Shwe La Win </vt:lpstr>
      <vt:lpstr>UMG Co,LTD</vt:lpstr>
      <vt:lpstr>Zan (or) Mg Mg Soe</vt:lpstr>
      <vt:lpstr>Total Balance</vt:lpstr>
      <vt:lpstr>Sheet5</vt:lpstr>
      <vt:lpstr>Data Combine</vt:lpstr>
      <vt:lpstr>'Total Balance'!Print_Area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User</cp:lastModifiedBy>
  <cp:lastPrinted>2021-03-13T22:35:13Z</cp:lastPrinted>
  <dcterms:created xsi:type="dcterms:W3CDTF">2021-03-05T16:53:14Z</dcterms:created>
  <dcterms:modified xsi:type="dcterms:W3CDTF">2021-10-28T02:03:31Z</dcterms:modified>
</cp:coreProperties>
</file>