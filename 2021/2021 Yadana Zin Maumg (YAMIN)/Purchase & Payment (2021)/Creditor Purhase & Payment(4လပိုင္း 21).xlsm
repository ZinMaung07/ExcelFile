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ivotTables/pivotTable1.xml" ContentType="application/vnd.openxmlformats-officedocument.spreadsheetml.pivot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adana Zin Maung Account(YAMIN)\Purchase &amp; Payment (2021)\"/>
    </mc:Choice>
  </mc:AlternateContent>
  <bookViews>
    <workbookView xWindow="-120" yWindow="-120" windowWidth="20730" windowHeight="11160" firstSheet="20" activeTab="23"/>
  </bookViews>
  <sheets>
    <sheet name="Supplier (COA)" sheetId="21" r:id="rId1"/>
    <sheet name="Armax Engine Oil" sheetId="1" r:id="rId2"/>
    <sheet name="Aspire Aim Machinery" sheetId="3" r:id="rId3"/>
    <sheet name="Aung Myit Tar" sheetId="4" r:id="rId4"/>
    <sheet name="Delita International Limited" sheetId="5" r:id="rId5"/>
    <sheet name="GBS Co, LTD Tricycle" sheetId="6" r:id="rId6"/>
    <sheet name="GBS Co, LTD Engine" sheetId="22" r:id="rId7"/>
    <sheet name="GBS Spare" sheetId="7" r:id="rId8"/>
    <sheet name="Ko Win Hlaing" sheetId="8" r:id="rId9"/>
    <sheet name="Kyinn Loon Myanmar" sheetId="9" r:id="rId10"/>
    <sheet name="Ma Au Bin" sheetId="10" r:id="rId11"/>
    <sheet name="Mann Ayawadi" sheetId="11" r:id="rId12"/>
    <sheet name="MDL Tricycle Spare" sheetId="12" r:id="rId13"/>
    <sheet name="Moe Thauk Ayar" sheetId="13" r:id="rId14"/>
    <sheet name="Sein Wut Hmon Co, LTD" sheetId="14" r:id="rId15"/>
    <sheet name="Shwe Than Lwin" sheetId="15" r:id="rId16"/>
    <sheet name="Shwe Yar Su" sheetId="16" r:id="rId17"/>
    <sheet name="Super" sheetId="17" r:id="rId18"/>
    <sheet name="Tat Shwe La Win " sheetId="18" r:id="rId19"/>
    <sheet name="UMG Co,LTD" sheetId="19" r:id="rId20"/>
    <sheet name="Zan (or) Mg Mg Soe" sheetId="20" r:id="rId21"/>
    <sheet name="Total Balance" sheetId="53" r:id="rId22"/>
    <sheet name="Pivot Table" sheetId="58" r:id="rId23"/>
    <sheet name="Data Combine" sheetId="57" r:id="rId24"/>
  </sheets>
  <definedNames>
    <definedName name="ExternalData_1" localSheetId="23" hidden="1">'Data Combine'!$A$1:$J$219</definedName>
    <definedName name="_xlnm.Print_Area" localSheetId="21">'Total Balance'!$A$1:$F$23</definedName>
  </definedNames>
  <calcPr calcId="162913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3" l="1"/>
  <c r="D3" i="53"/>
  <c r="E3" i="53"/>
  <c r="F3" i="53"/>
  <c r="C4" i="53"/>
  <c r="D4" i="53"/>
  <c r="E4" i="53"/>
  <c r="F4" i="53"/>
  <c r="C5" i="53"/>
  <c r="D5" i="53"/>
  <c r="E5" i="53"/>
  <c r="F5" i="53"/>
  <c r="C6" i="53"/>
  <c r="D6" i="53"/>
  <c r="E6" i="53"/>
  <c r="F6" i="53"/>
  <c r="C7" i="53"/>
  <c r="D7" i="53"/>
  <c r="E7" i="53"/>
  <c r="F7" i="53"/>
  <c r="C8" i="53"/>
  <c r="D8" i="53"/>
  <c r="E8" i="53"/>
  <c r="F8" i="53"/>
  <c r="C9" i="53"/>
  <c r="D9" i="53"/>
  <c r="E9" i="53"/>
  <c r="F9" i="53"/>
  <c r="C10" i="53"/>
  <c r="D10" i="53"/>
  <c r="E10" i="53"/>
  <c r="F10" i="53"/>
  <c r="C11" i="53"/>
  <c r="D11" i="53"/>
  <c r="E11" i="53"/>
  <c r="F11" i="53"/>
  <c r="C12" i="53"/>
  <c r="D12" i="53"/>
  <c r="E12" i="53"/>
  <c r="F12" i="53"/>
  <c r="C13" i="53"/>
  <c r="D13" i="53"/>
  <c r="E13" i="53"/>
  <c r="F13" i="53"/>
  <c r="C14" i="53"/>
  <c r="D14" i="53"/>
  <c r="E14" i="53"/>
  <c r="F14" i="53"/>
  <c r="C15" i="53"/>
  <c r="D15" i="53"/>
  <c r="E15" i="53"/>
  <c r="F15" i="53"/>
  <c r="C16" i="53"/>
  <c r="D16" i="53"/>
  <c r="E16" i="53"/>
  <c r="F16" i="53"/>
  <c r="C17" i="53"/>
  <c r="D17" i="53"/>
  <c r="E17" i="53"/>
  <c r="F17" i="53"/>
  <c r="C18" i="53"/>
  <c r="D18" i="53"/>
  <c r="E18" i="53"/>
  <c r="F18" i="53"/>
  <c r="C19" i="53"/>
  <c r="D19" i="53"/>
  <c r="E19" i="53"/>
  <c r="F19" i="53"/>
  <c r="C20" i="53"/>
  <c r="D20" i="53"/>
  <c r="E20" i="53"/>
  <c r="F20" i="53"/>
  <c r="C21" i="53"/>
  <c r="D21" i="53"/>
  <c r="E21" i="53"/>
  <c r="F21" i="53"/>
  <c r="D2" i="53"/>
  <c r="E2" i="53"/>
  <c r="F2" i="53"/>
  <c r="C2" i="53"/>
  <c r="J3" i="20" l="1"/>
  <c r="J4" i="20"/>
  <c r="J5" i="20" s="1"/>
  <c r="J6" i="20" s="1"/>
  <c r="J7" i="20" s="1"/>
  <c r="J8" i="20" s="1"/>
  <c r="J9" i="20" s="1"/>
  <c r="J10" i="20" s="1"/>
  <c r="J11" i="20" s="1"/>
  <c r="J12" i="20" s="1"/>
  <c r="J13" i="20" s="1"/>
  <c r="J14" i="20" s="1"/>
  <c r="J15" i="20" s="1"/>
  <c r="J16" i="20" s="1"/>
  <c r="J2" i="20"/>
  <c r="J2" i="19"/>
  <c r="J2" i="18"/>
  <c r="J4" i="17"/>
  <c r="J5" i="17"/>
  <c r="J6" i="17" s="1"/>
  <c r="J7" i="17" s="1"/>
  <c r="J8" i="17" s="1"/>
  <c r="J3" i="17"/>
  <c r="J2" i="17"/>
  <c r="J2" i="16" l="1"/>
  <c r="J3" i="16"/>
  <c r="J4" i="15"/>
  <c r="J5" i="15"/>
  <c r="J6" i="15" s="1"/>
  <c r="J7" i="15" s="1"/>
  <c r="J8" i="15" s="1"/>
  <c r="J9" i="15" s="1"/>
  <c r="J10" i="15" s="1"/>
  <c r="J11" i="15" s="1"/>
  <c r="J3" i="15"/>
  <c r="J2" i="15"/>
  <c r="J2" i="14"/>
  <c r="J4" i="13"/>
  <c r="J5" i="13"/>
  <c r="J6" i="13" s="1"/>
  <c r="J7" i="13" s="1"/>
  <c r="J8" i="13" s="1"/>
  <c r="J9" i="13" s="1"/>
  <c r="J3" i="13"/>
  <c r="J2" i="13"/>
  <c r="J2" i="12"/>
  <c r="J4" i="11"/>
  <c r="J5" i="11"/>
  <c r="J6" i="11" s="1"/>
  <c r="J7" i="11" s="1"/>
  <c r="J8" i="11" s="1"/>
  <c r="J9" i="11" s="1"/>
  <c r="J10" i="11" s="1"/>
  <c r="J3" i="11"/>
  <c r="J2" i="11"/>
  <c r="J4" i="10"/>
  <c r="J5" i="10"/>
  <c r="J3" i="10"/>
  <c r="J2" i="10"/>
  <c r="J4" i="9"/>
  <c r="J5" i="9"/>
  <c r="J6" i="9" s="1"/>
  <c r="J3" i="9"/>
  <c r="J2" i="9"/>
  <c r="J4" i="8"/>
  <c r="J5" i="8"/>
  <c r="J6" i="8" s="1"/>
  <c r="J7" i="8" s="1"/>
  <c r="J3" i="8"/>
  <c r="J2" i="8"/>
  <c r="J4" i="7"/>
  <c r="J5" i="7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3" i="7"/>
  <c r="J2" i="7"/>
  <c r="J4" i="6"/>
  <c r="J5" i="6"/>
  <c r="J6" i="6" s="1"/>
  <c r="J7" i="6" s="1"/>
  <c r="J8" i="6" s="1"/>
  <c r="J3" i="6"/>
  <c r="J2" i="6"/>
  <c r="J4" i="5"/>
  <c r="J5" i="5"/>
  <c r="J6" i="5" s="1"/>
  <c r="J3" i="5"/>
  <c r="J2" i="5"/>
  <c r="J4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3" i="4"/>
  <c r="J2" i="4"/>
  <c r="J2" i="3"/>
  <c r="J2" i="1"/>
  <c r="I16" i="4" l="1"/>
  <c r="I14" i="4"/>
  <c r="I16" i="20"/>
  <c r="I17" i="7"/>
  <c r="I11" i="15"/>
  <c r="I15" i="20"/>
  <c r="I9" i="13"/>
  <c r="I6" i="5"/>
  <c r="I8" i="13"/>
  <c r="I8" i="17"/>
  <c r="I10" i="11"/>
  <c r="I10" i="15"/>
  <c r="I14" i="20"/>
  <c r="I13" i="20"/>
  <c r="I9" i="11"/>
  <c r="I5" i="15"/>
  <c r="I9" i="15"/>
  <c r="I15" i="4"/>
  <c r="I7" i="13"/>
  <c r="I13" i="4"/>
  <c r="I7" i="17"/>
  <c r="I6" i="17"/>
  <c r="I12" i="7"/>
  <c r="I16" i="7"/>
  <c r="I15" i="7"/>
  <c r="I14" i="7"/>
  <c r="I12" i="4"/>
  <c r="I11" i="4"/>
  <c r="I12" i="20"/>
  <c r="I6" i="13"/>
  <c r="I6" i="4"/>
  <c r="I9" i="7"/>
  <c r="I8" i="15"/>
  <c r="I8" i="11"/>
  <c r="I10" i="4"/>
  <c r="I9" i="4"/>
  <c r="I11" i="20"/>
  <c r="I7" i="8"/>
  <c r="I13" i="7"/>
  <c r="I10" i="20"/>
  <c r="I9" i="20"/>
  <c r="I8" i="20"/>
  <c r="I7" i="20"/>
  <c r="I6" i="20"/>
  <c r="I4" i="5"/>
  <c r="I5" i="5"/>
  <c r="I3" i="11"/>
  <c r="I4" i="11"/>
  <c r="I4" i="13" l="1"/>
  <c r="I5" i="13"/>
  <c r="I4" i="20" l="1"/>
  <c r="I3" i="7" l="1"/>
  <c r="I4" i="7"/>
  <c r="I5" i="8" l="1"/>
  <c r="I6" i="8"/>
  <c r="I3" i="13" l="1"/>
  <c r="I3" i="9" l="1"/>
  <c r="I5" i="20" l="1"/>
  <c r="I3" i="20"/>
  <c r="I2" i="20"/>
  <c r="I2" i="19"/>
  <c r="I2" i="18"/>
  <c r="I5" i="17"/>
  <c r="I4" i="17"/>
  <c r="I3" i="17"/>
  <c r="I2" i="17"/>
  <c r="I3" i="16"/>
  <c r="I2" i="16"/>
  <c r="I7" i="15"/>
  <c r="I6" i="15"/>
  <c r="I4" i="15"/>
  <c r="I3" i="15"/>
  <c r="I2" i="15"/>
  <c r="I2" i="14"/>
  <c r="I2" i="13"/>
  <c r="I2" i="12"/>
  <c r="I7" i="11"/>
  <c r="I6" i="11"/>
  <c r="I5" i="11"/>
  <c r="I2" i="11"/>
  <c r="I5" i="10"/>
  <c r="I4" i="10"/>
  <c r="I3" i="10"/>
  <c r="I2" i="10"/>
  <c r="I6" i="9"/>
  <c r="I5" i="9"/>
  <c r="I4" i="9"/>
  <c r="I2" i="9"/>
  <c r="I4" i="8"/>
  <c r="I3" i="8"/>
  <c r="I2" i="8"/>
  <c r="I11" i="7"/>
  <c r="I10" i="7"/>
  <c r="I8" i="7"/>
  <c r="I7" i="7"/>
  <c r="I6" i="7"/>
  <c r="I5" i="7"/>
  <c r="I2" i="7"/>
  <c r="I3" i="22"/>
  <c r="I2" i="22"/>
  <c r="J2" i="22" s="1"/>
  <c r="J3" i="22" s="1"/>
  <c r="I8" i="6"/>
  <c r="I7" i="6"/>
  <c r="I6" i="6"/>
  <c r="I5" i="6"/>
  <c r="I4" i="6"/>
  <c r="I3" i="6"/>
  <c r="I2" i="6"/>
  <c r="I3" i="5"/>
  <c r="I2" i="5"/>
  <c r="I8" i="4"/>
  <c r="I7" i="4"/>
  <c r="I5" i="4"/>
  <c r="I4" i="4"/>
  <c r="I3" i="4"/>
  <c r="I2" i="4"/>
  <c r="I2" i="3"/>
  <c r="I2" i="1"/>
  <c r="C23" i="53"/>
  <c r="D23" i="53"/>
  <c r="E23" i="53"/>
  <c r="F23" i="53"/>
</calcChain>
</file>

<file path=xl/connections.xml><?xml version="1.0" encoding="utf-8"?>
<connections xmlns="http://schemas.openxmlformats.org/spreadsheetml/2006/main">
  <connection id="1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<sst xmlns="http://schemas.openxmlformats.org/spreadsheetml/2006/main" count="1244" uniqueCount="198">
  <si>
    <t>No</t>
  </si>
  <si>
    <t>Date</t>
  </si>
  <si>
    <t>Supplier Code</t>
  </si>
  <si>
    <t>Supplier Name</t>
  </si>
  <si>
    <t>Item Name</t>
  </si>
  <si>
    <t>Opening</t>
  </si>
  <si>
    <t>Purchase</t>
  </si>
  <si>
    <t>Payment</t>
  </si>
  <si>
    <t>Balance</t>
  </si>
  <si>
    <t>Armax Engine Oil</t>
  </si>
  <si>
    <t>Sub Account Name</t>
  </si>
  <si>
    <t>Pay202</t>
  </si>
  <si>
    <t>Arr Thit</t>
  </si>
  <si>
    <t>Current Assets</t>
  </si>
  <si>
    <t>Pay203</t>
  </si>
  <si>
    <t>Aspire Aim Machinery</t>
  </si>
  <si>
    <t>Non-Current Assets</t>
  </si>
  <si>
    <t>Pay204</t>
  </si>
  <si>
    <t>Aung Myit Tar</t>
  </si>
  <si>
    <t>Current Liabilities</t>
  </si>
  <si>
    <t>Pay205</t>
  </si>
  <si>
    <t>Delta International Limited</t>
  </si>
  <si>
    <t>Non-Current Liabilities</t>
  </si>
  <si>
    <t>Pay206</t>
  </si>
  <si>
    <t>Shereholder's and equity</t>
  </si>
  <si>
    <t>Pay207</t>
  </si>
  <si>
    <t>GBS Fertilizer</t>
  </si>
  <si>
    <t>Sales</t>
  </si>
  <si>
    <t>Pay208</t>
  </si>
  <si>
    <t>GBS Spare</t>
  </si>
  <si>
    <t>Cost of good sold</t>
  </si>
  <si>
    <t>Pay209</t>
  </si>
  <si>
    <t>Hope Flowers Fertilizer</t>
  </si>
  <si>
    <t>Other Income</t>
  </si>
  <si>
    <t>Pay210</t>
  </si>
  <si>
    <t>Hur Hong Co.Ltd</t>
  </si>
  <si>
    <t>Other Expenses</t>
  </si>
  <si>
    <t>Pay211</t>
  </si>
  <si>
    <t xml:space="preserve">Ko Win Hlaing </t>
  </si>
  <si>
    <t>Pay212</t>
  </si>
  <si>
    <t>Kyaw Ball</t>
  </si>
  <si>
    <t>Pay213</t>
  </si>
  <si>
    <t>Ma Au Bin</t>
  </si>
  <si>
    <t>Pay214</t>
  </si>
  <si>
    <t>MDL Tricycle Spare</t>
  </si>
  <si>
    <t>Pay215</t>
  </si>
  <si>
    <t>Sein Wut Hmon Co.Ltd</t>
  </si>
  <si>
    <t>Pay216</t>
  </si>
  <si>
    <t>Shwe Than Lwin</t>
  </si>
  <si>
    <t>Pay217</t>
  </si>
  <si>
    <t>Shwe Yar Su</t>
  </si>
  <si>
    <t>Pay218</t>
  </si>
  <si>
    <t>Tat Shwe La Win</t>
  </si>
  <si>
    <t>Pay219</t>
  </si>
  <si>
    <t>UMG Co,Ltd</t>
  </si>
  <si>
    <t>Pay220</t>
  </si>
  <si>
    <t>Zan (or) Mg Mg Soe</t>
  </si>
  <si>
    <t>Pay221</t>
  </si>
  <si>
    <t>Kyinn Loon Myanmar</t>
  </si>
  <si>
    <t>Pay222</t>
  </si>
  <si>
    <t>Moe thauk Ayar</t>
  </si>
  <si>
    <t>Pay223</t>
  </si>
  <si>
    <t>Pay224</t>
  </si>
  <si>
    <t>Mann Ayarwadi</t>
  </si>
  <si>
    <t>Pay225</t>
  </si>
  <si>
    <t>Super</t>
  </si>
  <si>
    <t>Pay226</t>
  </si>
  <si>
    <t xml:space="preserve">Ko Hla Ngwe </t>
  </si>
  <si>
    <t>GBS Co.Ltd Tricycle</t>
  </si>
  <si>
    <t>GBS Co.Ltd  Engine</t>
  </si>
  <si>
    <t>A/C Tipe</t>
  </si>
  <si>
    <t>½</t>
  </si>
  <si>
    <t>Pay228</t>
  </si>
  <si>
    <t>Vr.No</t>
  </si>
  <si>
    <t>Delita International Limied</t>
  </si>
  <si>
    <t>GBS Co, LTD Tricycle</t>
  </si>
  <si>
    <t>GBS Co, LTD Engine</t>
  </si>
  <si>
    <t>Ko Win Hlaing</t>
  </si>
  <si>
    <t>Mann Ayawadi</t>
  </si>
  <si>
    <t>Moe Thauk Ayar</t>
  </si>
  <si>
    <t>Sein Wut Hmon Co, LTD</t>
  </si>
  <si>
    <t xml:space="preserve">Tat Shwe La Win </t>
  </si>
  <si>
    <t>UMG Co,LTD</t>
  </si>
  <si>
    <t>Grand Total</t>
  </si>
  <si>
    <t>Total</t>
  </si>
  <si>
    <t>Content.Date</t>
  </si>
  <si>
    <t>Content.Vr.No</t>
  </si>
  <si>
    <t>Content.A/C Tipe</t>
  </si>
  <si>
    <t>Content.Supplier Name</t>
  </si>
  <si>
    <t>Content.Item Name</t>
  </si>
  <si>
    <t>Content.Opening</t>
  </si>
  <si>
    <t>Content.Purchase</t>
  </si>
  <si>
    <t>Content.Payment</t>
  </si>
  <si>
    <t>Content.Balance</t>
  </si>
  <si>
    <t>ဦးဝင္းသူ                  Cash  (ေငြလႊဲ - ဆိုင္)</t>
  </si>
  <si>
    <t>ဦးဆန္းသူသံုးဘီး         Cash  (ေငြလႊဲ - ဆိုင္)</t>
  </si>
  <si>
    <t>ဦးေက်ာ္ဇင္ဦး             Cash  (ေငြလႊဲ - ဆိုင္)</t>
  </si>
  <si>
    <t>ကိုမ်ိဳးျမင့္စိုးသံုးဘီး        Cash  (ေငြလႊဲ - ဆိုင္)</t>
  </si>
  <si>
    <t>ကိုလႈိင္မင္းထြန္းသံုးဘီး   Cash  (ေငြလႊဲ - ဆိုင္)</t>
  </si>
  <si>
    <t>25ကစ္စက္</t>
  </si>
  <si>
    <t>စလစ္စံု</t>
  </si>
  <si>
    <t>4"သတၱဳ</t>
  </si>
  <si>
    <t>ဂီယာေဘာက္</t>
  </si>
  <si>
    <t>မာစတာပန္႔</t>
  </si>
  <si>
    <t>22ေကာင္ကြန္နတင္း</t>
  </si>
  <si>
    <t>ပစၥတင္</t>
  </si>
  <si>
    <t>4T</t>
  </si>
  <si>
    <t>(ေငြလႊဲ - ဆိုင္)</t>
  </si>
  <si>
    <t>28-42ဂီယာေပါက္</t>
  </si>
  <si>
    <t>630DD</t>
  </si>
  <si>
    <t>ေငြလႊဲ - ဆိုင္</t>
  </si>
  <si>
    <t>DFေပါင္အံု</t>
  </si>
  <si>
    <t>တစ္ဘီးထြန္5သံျပား</t>
  </si>
  <si>
    <t>ေရၾကည္ေရျမွဳပ္ေမာ္တာ</t>
  </si>
  <si>
    <t>DAYUAN JET-550</t>
  </si>
  <si>
    <t>6 1/2ကိြဳင္</t>
  </si>
  <si>
    <t>S-195 ေနာ္ဇယ္ပင္ၾကီး</t>
  </si>
  <si>
    <t>ပလန္ခ်ာ</t>
  </si>
  <si>
    <t>FULL SET</t>
  </si>
  <si>
    <t>သံုျပားရွည္</t>
  </si>
  <si>
    <t>SU50</t>
  </si>
  <si>
    <t>SU80</t>
  </si>
  <si>
    <t>ဂတ္စကတ္က်ယ္</t>
  </si>
  <si>
    <t>ထြန္ခ်ိန္းအံု</t>
  </si>
  <si>
    <t>ေငြလႊဲ - Mobile</t>
  </si>
  <si>
    <t>ေငြလႊဲ - YGN</t>
  </si>
  <si>
    <t>11Tဘက္အံုပင္နယံကလိုင္းပါ</t>
  </si>
  <si>
    <t>ဘေလာက္(SET)(300)</t>
  </si>
  <si>
    <t>R180A စလစ္(JW)</t>
  </si>
  <si>
    <t>TOYOေလ်ာဗန္း</t>
  </si>
  <si>
    <t>1"လက္မၾကိဳးပိုက္(100)'အထူ</t>
  </si>
  <si>
    <t>အဲယားစစ္175/180</t>
  </si>
  <si>
    <t>NT70 DIESEL ENGINE</t>
  </si>
  <si>
    <t>Rado22D မီးစက္(2000)</t>
  </si>
  <si>
    <t>ေငြလႊဲ- Mobile</t>
  </si>
  <si>
    <t>Dayuan DKM60-2B 370W 220V Water Pump</t>
  </si>
  <si>
    <t>DC Blower</t>
  </si>
  <si>
    <t>ဆီဘရိတ္ရွဴးျခမ္းႀကီး</t>
  </si>
  <si>
    <t>6 1/2 2ရြက္ (B)</t>
  </si>
  <si>
    <t>S-195 ပလန္ခ်ာအံုဆြဲနတ္(JW)</t>
  </si>
  <si>
    <t>DFလက္ေမာင္းကိုင္း</t>
  </si>
  <si>
    <t>တစ္ဘီးထြန္ 110</t>
  </si>
  <si>
    <t>ယူဘိုး(ေဒါင့္အေသး)220</t>
  </si>
  <si>
    <t>13ေကာင္ဆြဲၾကိဳးအၿဖဴ</t>
  </si>
  <si>
    <t>R-175 ဒီဘားဝါရွာ(JW)</t>
  </si>
  <si>
    <t>တစ္ဘီးထြန္14သြားရွပ္/ရွည္ (110) (JW)</t>
  </si>
  <si>
    <t>ပလန္ခ်ာ175/180</t>
  </si>
  <si>
    <t>စလစ္ကစ္ဆက္(က်ယ္) (ခြက္)</t>
  </si>
  <si>
    <t>အဲယားဗူး</t>
  </si>
  <si>
    <t>ဆြဲအံုစံု(နီ)(GX160)1ဖာ-20</t>
  </si>
  <si>
    <t>ေရာင္စံုပါး</t>
  </si>
  <si>
    <t>B50/20</t>
  </si>
  <si>
    <t>တစ္ဘီးထြန္ေပါင္ရွပ္</t>
  </si>
  <si>
    <t>ABK 6.5HP အထိုင္</t>
  </si>
  <si>
    <t>180 ကင့္ကာဘာ</t>
  </si>
  <si>
    <t>LB မို္င္းလစ္ခြက္ (လြတ္) (ရႊင္လန္း)</t>
  </si>
  <si>
    <t>ဒိုင္အုပ္ၾကီး (6ဆ) T/A</t>
  </si>
  <si>
    <t>မီးစက္နွစ္လံုးေငြၿပန္ပို႔</t>
  </si>
  <si>
    <t>999  90 ံC</t>
  </si>
  <si>
    <t>(blank)</t>
  </si>
  <si>
    <t>Coolant(1L)</t>
  </si>
  <si>
    <t>56ေကာ္နတင္း</t>
  </si>
  <si>
    <t>8ထုပ္ကြိဳင္</t>
  </si>
  <si>
    <t>Toyo 10စီးၿပန္ေလ်ာ့ေပးေငြ</t>
  </si>
  <si>
    <t>ကိုေအာင္ေအာင္လြင္/ကိုနိုင္လင္းထြန္း    Cash (ေငြလႊဲ - ဆိုင္)</t>
  </si>
  <si>
    <t>ဆီတိုင္ကီ(ေဒါက္တို)R180 (CC)</t>
  </si>
  <si>
    <t>ခရုဟြန္း စိမ္း/ေကာင္းA</t>
  </si>
  <si>
    <t>R-175ဒီဘား (JW)</t>
  </si>
  <si>
    <t>R-180A စလစ္(JW)</t>
  </si>
  <si>
    <t>S-195 ေရတိုင္ကီ AIR COOL (ဖိုက္ဘာ)</t>
  </si>
  <si>
    <t>Total Balance</t>
  </si>
  <si>
    <t xml:space="preserve"> </t>
  </si>
  <si>
    <t>Content.Total Balance</t>
  </si>
  <si>
    <t>Armax Engine Oil Total</t>
  </si>
  <si>
    <t>Aspire Aim Machinery Total</t>
  </si>
  <si>
    <t>Aung Myit Tar Total</t>
  </si>
  <si>
    <t>Delita International Limied Total</t>
  </si>
  <si>
    <t>GBS Co, LTD Engine Total</t>
  </si>
  <si>
    <t>GBS Co, LTD Tricycle Total</t>
  </si>
  <si>
    <t>GBS Spare Total</t>
  </si>
  <si>
    <t>Ko Win Hlaing Total</t>
  </si>
  <si>
    <t>Kyinn Loon Myanmar Total</t>
  </si>
  <si>
    <t>Ma Au Bin Total</t>
  </si>
  <si>
    <t>Mann Ayawadi Total</t>
  </si>
  <si>
    <t>MDL Tricycle Spare Total</t>
  </si>
  <si>
    <t>Moe Thauk Ayar Total</t>
  </si>
  <si>
    <t>Sein Wut Hmon Co, LTD Total</t>
  </si>
  <si>
    <t>Shwe Than Lwin Total</t>
  </si>
  <si>
    <t>Shwe Yar Su Total</t>
  </si>
  <si>
    <t>Super Total</t>
  </si>
  <si>
    <t>Tat Shwe La Win  Total</t>
  </si>
  <si>
    <t>UMG Co,LTD Total</t>
  </si>
  <si>
    <t>Zan (or) Mg Mg Soe Total</t>
  </si>
  <si>
    <t>(blank) Total</t>
  </si>
  <si>
    <t xml:space="preserve"> Content.Opening</t>
  </si>
  <si>
    <t xml:space="preserve"> Content.Purchase</t>
  </si>
  <si>
    <t xml:space="preserve"> Content.Payment</t>
  </si>
  <si>
    <t xml:space="preserve"> Content.Balance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</si>
</sst>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_(* #,##0_);_(* \(#,##0\);_(* &quot;-&quot;??_);_(@_)"/>
    <numFmt numFmtId="165" formatCode="\V\-00000"/>
    <numFmt numFmtId="166" formatCode="dd/mmmm/yyyy"/>
    <numFmt numFmtId="167" formatCode="\V\-0000"/>
    <numFmt numFmtId="168" formatCode="m/d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6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3" fillId="0" borderId="1" xfId="0" applyFont="1" applyBorder="1"/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3" fillId="0" borderId="0" xfId="1" applyNumberFormat="1" applyFont="1" applyAlignment="1"/>
    <xf numFmtId="0" fontId="3" fillId="2" borderId="1" xfId="0" applyFont="1" applyFill="1" applyBorder="1"/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6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65" fontId="5" fillId="0" borderId="0" xfId="0" applyNumberFormat="1" applyFont="1" applyAlignment="1">
      <alignment horizontal="center"/>
    </xf>
    <xf numFmtId="164" fontId="5" fillId="0" borderId="0" xfId="1" applyNumberFormat="1" applyFont="1" applyAlignment="1"/>
    <xf numFmtId="166" fontId="5" fillId="0" borderId="0" xfId="0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164" fontId="3" fillId="3" borderId="1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0" fontId="3" fillId="3" borderId="2" xfId="0" applyFont="1" applyFill="1" applyBorder="1"/>
    <xf numFmtId="0" fontId="3" fillId="3" borderId="3" xfId="0" applyNumberFormat="1" applyFont="1" applyFill="1" applyBorder="1"/>
    <xf numFmtId="164" fontId="4" fillId="0" borderId="4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/>
    <xf numFmtId="164" fontId="6" fillId="0" borderId="0" xfId="1" applyNumberFormat="1" applyFont="1" applyAlignment="1">
      <alignment horizontal="center"/>
    </xf>
    <xf numFmtId="164" fontId="6" fillId="0" borderId="0" xfId="1" applyNumberFormat="1" applyFont="1" applyAlignment="1"/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NumberFormat="1" applyFont="1"/>
    <xf numFmtId="0" fontId="7" fillId="0" borderId="0" xfId="0" applyFont="1" applyAlignment="1">
      <alignment horizontal="center"/>
    </xf>
    <xf numFmtId="164" fontId="7" fillId="0" borderId="0" xfId="1" applyNumberFormat="1" applyFont="1" applyAlignment="1">
      <alignment horizontal="center"/>
    </xf>
    <xf numFmtId="164" fontId="7" fillId="0" borderId="0" xfId="1" applyNumberFormat="1" applyFont="1" applyAlignment="1"/>
    <xf numFmtId="165" fontId="8" fillId="0" borderId="0" xfId="0" applyNumberFormat="1" applyFont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0" xfId="1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167" fontId="5" fillId="0" borderId="0" xfId="0" applyNumberFormat="1" applyFont="1"/>
    <xf numFmtId="1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NumberFormat="1" applyFont="1"/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Alignment="1"/>
    <xf numFmtId="0" fontId="9" fillId="0" borderId="0" xfId="0" applyNumberFormat="1" applyFont="1"/>
    <xf numFmtId="164" fontId="9" fillId="0" borderId="0" xfId="1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1" applyNumberFormat="1" applyFont="1" applyAlignment="1"/>
    <xf numFmtId="168" fontId="9" fillId="0" borderId="0" xfId="0" applyNumberFormat="1" applyFont="1"/>
    <xf numFmtId="165" fontId="5" fillId="0" borderId="0" xfId="0" applyNumberFormat="1" applyFont="1"/>
    <xf numFmtId="168" fontId="1" fillId="0" borderId="0" xfId="0" applyNumberFormat="1" applyFont="1"/>
    <xf numFmtId="164" fontId="10" fillId="0" borderId="0" xfId="1" applyNumberFormat="1" applyFont="1" applyAlignment="1">
      <alignment horizontal="center"/>
    </xf>
    <xf numFmtId="15" fontId="1" fillId="0" borderId="0" xfId="0" applyNumberFormat="1" applyFont="1"/>
    <xf numFmtId="0" fontId="1" fillId="0" borderId="0" xfId="0" pivotButton="1" applyFont="1"/>
    <xf numFmtId="164" fontId="1" fillId="0" borderId="0" xfId="1" applyNumberFormat="1" applyFont="1"/>
    <xf numFmtId="164" fontId="1" fillId="0" borderId="0" xfId="0" applyNumberFormat="1" applyFont="1"/>
  </cellXfs>
  <cellStyles count="2">
    <cellStyle name="Comma" xfId="1" builtinId="3"/>
    <cellStyle name="Normal" xfId="0" builtinId="0"/>
  </cellStyles>
  <dxfs count="294"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d\-mmm\-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70" formatCode="_(* #,##0.0_);_(* \(#,##0.0\);_(* &quot;-&quot;??_);_(@_)"/>
    </dxf>
    <dxf>
      <numFmt numFmtId="170" formatCode="_(* #,##0.0_);_(* \(#,##0.0\);_(* &quot;-&quot;??_);_(@_)"/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458.604338425925" createdVersion="6" refreshedVersion="6" minRefreshableVersion="3" recordCount="218">
  <cacheSource type="worksheet">
    <worksheetSource name="Data_Combine"/>
  </cacheSource>
  <cacheFields count="10">
    <cacheField name="Content.Date" numFmtId="15">
      <sharedItems containsNonDate="0" containsDate="1" containsString="0" containsBlank="1" minDate="2021-03-23T00:00:00" maxDate="2021-04-30T00:00:00"/>
    </cacheField>
    <cacheField name="Content.Vr.No" numFmtId="0">
      <sharedItems containsString="0" containsBlank="1" containsNumber="1" containsInteger="1" minValue="44" maxValue="364211"/>
    </cacheField>
    <cacheField name="Content.A/C Tipe" numFmtId="0">
      <sharedItems containsBlank="1"/>
    </cacheField>
    <cacheField name="Content.Supplier Name" numFmtId="0">
      <sharedItems containsBlank="1" count="21">
        <s v="Armax Engine Oil"/>
        <s v="Aspire Aim Machinery"/>
        <s v="Aung Myit Tar"/>
        <s v="Delita International Limied"/>
        <s v="GBS Co, LTD Tricycle"/>
        <s v="GBS Co, LTD Engine"/>
        <s v="GBS Spare"/>
        <s v="Ko Win Hlaing"/>
        <s v="Kyinn Loon Myanmar"/>
        <s v="Ma Au Bin"/>
        <s v="Mann Ayawadi"/>
        <s v="MDL Tricycle Spare"/>
        <s v="Moe Thauk Ayar"/>
        <s v="Sein Wut Hmon Co, LTD"/>
        <s v="Shwe Than Lwin"/>
        <s v="Shwe Yar Su"/>
        <s v="Super"/>
        <s v="Tat Shwe La Win "/>
        <s v="UMG Co,LTD"/>
        <s v="Zan (or) Mg Mg Soe"/>
        <m/>
      </sharedItems>
    </cacheField>
    <cacheField name="Content.Item Name" numFmtId="0">
      <sharedItems containsBlank="1" containsMixedTypes="1" containsNumber="1" containsInteger="1" minValue="6207" maxValue="6207" count="78">
        <s v="Opening"/>
        <s v="6 1/2ကိြဳင္"/>
        <s v="S-195 ေနာ္ဇယ္ပင္ၾကီး"/>
        <s v="R180A စလစ္(JW)"/>
        <s v="ေငြလႊဲ- Mobile"/>
        <s v="6 1/2 2ရြက္ (B)"/>
        <s v="S-195 ပလန္ခ်ာအံုဆြဲနတ္(JW)"/>
        <s v="13ေကာင္ဆြဲၾကိဳးအၿဖဴ"/>
        <s v="R-175 ဒီဘားဝါရွာ(JW)"/>
        <s v="တစ္ဘီးထြန္14သြားရွပ္/ရွည္ (110) (JW)"/>
        <s v="တစ္ဘီးထြန္ေပါင္ရွပ္"/>
        <s v="R-180A စလစ္(JW)"/>
        <s v="R-175ဒီဘား (JW)"/>
        <s v="S-195 ေရတိုင္ကီ AIR COOL (ဖိုက္ဘာ)"/>
        <s v="(ေငြလႊဲ - ဆိုင္)"/>
        <s v="4T"/>
        <s v="Coolant(1L)"/>
        <s v="ကိုလႈိင္မင္းထြန္းသံုးဘီး   Cash  (ေငြလႊဲ - ဆိုင္)"/>
        <s v="ကိုမ်ိဳးျမင့္စိုးသံုးဘီး        Cash  (ေငြလႊဲ - ဆိုင္)"/>
        <s v="ဦးဆန္းသူသံုးဘီး         Cash  (ေငြလႊဲ - ဆိုင္)"/>
        <s v="ဦးေက်ာ္ဇင္ဦး             Cash  (ေငြလႊဲ - ဆိုင္)"/>
        <s v="ဦးဝင္းသူ                  Cash  (ေငြလႊဲ - ဆိုင္)"/>
        <s v="ကိုေအာင္ေအာင္လြင္/ကိုနိုင္လင္းထြန္း    Cash (ေငြလႊဲ - ဆိုင္)"/>
        <s v="ေငြလႊဲ - ဆိုင္"/>
        <s v="22ေကာင္ကြန္နတင္း"/>
        <s v="ပစၥတင္"/>
        <s v="28-42ဂီယာေပါက္"/>
        <s v="ပလန္ခ်ာ"/>
        <s v="ဂတ္စကတ္က်ယ္"/>
        <s v="ထြန္ခ်ိန္းအံု"/>
        <s v="1&quot;လက္မၾကိဳးပိုက္(100)'အထူ"/>
        <s v="ေငြလႊဲ - Mobile"/>
        <s v="အဲယားစစ္175/180"/>
        <s v="ဆြဲအံုစံု(နီ)(GX160)1ဖာ-20"/>
        <s v="ပလန္ခ်ာ175/180"/>
        <s v="စလစ္ကစ္ဆက္(က်ယ္) (ခြက္)"/>
        <s v="အဲယားဗူး"/>
        <s v="ဆီတိုင္ကီ(ေဒါက္တို)R180 (CC)"/>
        <s v="4&quot;သတၱဳ"/>
        <s v="SU50"/>
        <s v="SU80"/>
        <s v="DC Blower"/>
        <s v="ေငြလႊဲ - YGN"/>
        <s v="ေရၾကည္ေရျမွဳပ္ေမာ္တာ"/>
        <s v="DAYUAN JET-550"/>
        <s v="Dayuan DKM60-2B 370W 220V Water Pump"/>
        <s v="သံုျပားရွည္"/>
        <s v="TOYOေလ်ာဗန္း"/>
        <s v="25ကစ္စက္"/>
        <s v="DFေပါင္အံု"/>
        <s v="DFလက္ေမာင္းကိုင္း"/>
        <s v="180 ကင့္ကာဘာ"/>
        <s v="999  90 ံC"/>
        <s v="တစ္ဘီးထြန္5သံျပား"/>
        <s v="တစ္ဘီးထြန္ 110"/>
        <s v="56ေကာ္နတင္း"/>
        <s v="Toyo 10စီးၿပန္ေလ်ာ့ေပးေငြ"/>
        <s v="NT70 DIESEL ENGINE"/>
        <s v="Rado22D မီးစက္(2000)"/>
        <s v="မီးစက္နွစ္လံုးေငြၿပန္ပို႔"/>
        <s v="ABK 6.5HP အထိုင္"/>
        <s v="စလစ္စံု"/>
        <s v="630DD"/>
        <s v="ေရာင္စံုပါး"/>
        <s v="B50/20"/>
        <n v="6207"/>
        <s v="ဂီယာေဘာက္"/>
        <s v="မာစတာပန္႔"/>
        <s v="FULL SET"/>
        <s v="11Tဘက္အံုပင္နယံကလိုင္းပါ"/>
        <s v="ဘေလာက္(SET)(300)"/>
        <s v="ဆီဘရိတ္ရွဴးျခမ္းႀကီး"/>
        <s v="ယူဘိုး(ေဒါင့္အေသး)220"/>
        <s v="LB မို္င္းလစ္ခြက္ (လြတ္) (ရႊင္လန္း)"/>
        <s v="ဒိုင္အုပ္ၾကီး (6ဆ) T/A"/>
        <s v="8ထုပ္ကြိဳင္"/>
        <s v="ခရုဟြန္း စိမ္း/ေကာင္းA"/>
        <m/>
      </sharedItems>
    </cacheField>
    <cacheField name="Content.Opening" numFmtId="0">
      <sharedItems containsString="0" containsBlank="1" containsNumber="1" containsInteger="1" minValue="35000" maxValue="32492000"/>
    </cacheField>
    <cacheField name="Content.Purchase" numFmtId="0">
      <sharedItems containsString="0" containsBlank="1" containsNumber="1" minValue="16000" maxValue="3948750"/>
    </cacheField>
    <cacheField name="Content.Payment" numFmtId="0">
      <sharedItems containsString="0" containsBlank="1" containsNumber="1" containsInteger="1" minValue="17250" maxValue="6408000"/>
    </cacheField>
    <cacheField name="Content.Balance" numFmtId="0">
      <sharedItems containsString="0" containsBlank="1" containsNumber="1" minValue="-6408000" maxValue="32492000"/>
    </cacheField>
    <cacheField name="Content.Total Balance" numFmtId="0">
      <sharedItems containsString="0" containsBlank="1" containsNumber="1" containsInteger="1" minValue="-870540" maxValue="324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8">
  <r>
    <d v="2021-04-01T00:00:00"/>
    <m/>
    <s v="Opening"/>
    <x v="0"/>
    <x v="0"/>
    <n v="630620"/>
    <m/>
    <m/>
    <n v="630620"/>
    <n v="630620"/>
  </r>
  <r>
    <d v="2021-04-01T00:00:00"/>
    <m/>
    <s v="Opening"/>
    <x v="1"/>
    <x v="0"/>
    <m/>
    <m/>
    <m/>
    <n v="0"/>
    <n v="0"/>
  </r>
  <r>
    <d v="2021-04-01T00:00:00"/>
    <m/>
    <s v="Opening"/>
    <x v="2"/>
    <x v="0"/>
    <n v="689657"/>
    <m/>
    <m/>
    <n v="689657"/>
    <n v="689657"/>
  </r>
  <r>
    <d v="2021-04-06T00:00:00"/>
    <n v="20889"/>
    <s v="Purchase"/>
    <x v="2"/>
    <x v="1"/>
    <m/>
    <n v="33000"/>
    <m/>
    <n v="33000"/>
    <n v="722657"/>
  </r>
  <r>
    <d v="2021-04-06T00:00:00"/>
    <n v="48133"/>
    <s v="Purchase"/>
    <x v="2"/>
    <x v="2"/>
    <m/>
    <n v="284448"/>
    <m/>
    <n v="284448"/>
    <n v="1007105"/>
  </r>
  <r>
    <d v="2021-04-09T00:00:00"/>
    <n v="48216"/>
    <s v="Purchase"/>
    <x v="2"/>
    <x v="3"/>
    <m/>
    <n v="151784"/>
    <m/>
    <n v="151784"/>
    <n v="1158889"/>
  </r>
  <r>
    <d v="2021-04-10T00:00:00"/>
    <n v="48229"/>
    <s v="Purchase"/>
    <x v="2"/>
    <x v="3"/>
    <m/>
    <n v="89960"/>
    <m/>
    <n v="89960"/>
    <n v="1248849"/>
  </r>
  <r>
    <d v="2021-04-19T00:00:00"/>
    <m/>
    <s v="Payment"/>
    <x v="2"/>
    <x v="4"/>
    <m/>
    <m/>
    <n v="1158889"/>
    <n v="-1158889"/>
    <n v="89960"/>
  </r>
  <r>
    <d v="2021-04-19T00:00:00"/>
    <n v="21107"/>
    <s v="Purchase"/>
    <x v="2"/>
    <x v="5"/>
    <m/>
    <n v="39350"/>
    <m/>
    <n v="39350"/>
    <n v="129310"/>
  </r>
  <r>
    <d v="2021-04-19T00:00:00"/>
    <n v="48243"/>
    <s v="Purchase"/>
    <x v="2"/>
    <x v="6"/>
    <m/>
    <n v="39200"/>
    <m/>
    <n v="39200"/>
    <n v="168510"/>
  </r>
  <r>
    <d v="2021-04-21T00:00:00"/>
    <n v="21112"/>
    <s v="Purchase"/>
    <x v="2"/>
    <x v="7"/>
    <m/>
    <n v="44500"/>
    <m/>
    <n v="44500"/>
    <n v="213010"/>
  </r>
  <r>
    <d v="2021-04-21T00:00:00"/>
    <n v="48303"/>
    <s v="Purchase"/>
    <x v="2"/>
    <x v="8"/>
    <m/>
    <n v="317468"/>
    <m/>
    <n v="317468"/>
    <n v="530478"/>
  </r>
  <r>
    <d v="2021-04-21T00:00:00"/>
    <n v="48293"/>
    <s v="Purchase"/>
    <x v="2"/>
    <x v="9"/>
    <m/>
    <n v="88595"/>
    <m/>
    <n v="88595"/>
    <n v="619073"/>
  </r>
  <r>
    <d v="2021-04-23T00:00:00"/>
    <n v="48318"/>
    <s v="Purchase"/>
    <x v="2"/>
    <x v="10"/>
    <m/>
    <n v="335305"/>
    <m/>
    <n v="335305"/>
    <n v="954378"/>
  </r>
  <r>
    <d v="2021-04-24T00:00:00"/>
    <n v="48355"/>
    <s v="Purchase"/>
    <x v="2"/>
    <x v="11"/>
    <m/>
    <n v="154680"/>
    <m/>
    <n v="154680"/>
    <n v="1109058"/>
  </r>
  <r>
    <d v="2021-04-27T00:00:00"/>
    <n v="48408"/>
    <s v="Purchase"/>
    <x v="2"/>
    <x v="12"/>
    <m/>
    <n v="98381"/>
    <m/>
    <n v="98381"/>
    <n v="1207439"/>
  </r>
  <r>
    <d v="2021-04-28T00:00:00"/>
    <n v="48416"/>
    <s v="Purchase"/>
    <x v="2"/>
    <x v="13"/>
    <m/>
    <n v="288920"/>
    <m/>
    <n v="288920"/>
    <n v="1496359"/>
  </r>
  <r>
    <d v="2021-04-01T00:00:00"/>
    <m/>
    <s v="Opening"/>
    <x v="3"/>
    <x v="0"/>
    <n v="829260"/>
    <m/>
    <m/>
    <n v="829260"/>
    <n v="829260"/>
  </r>
  <r>
    <d v="2021-04-05T00:00:00"/>
    <n v="40114"/>
    <s v="Payment"/>
    <x v="3"/>
    <x v="14"/>
    <m/>
    <m/>
    <n v="200000"/>
    <n v="-200000"/>
    <n v="629260"/>
  </r>
  <r>
    <d v="2021-04-05T00:00:00"/>
    <n v="45275"/>
    <s v="Purchase"/>
    <x v="3"/>
    <x v="15"/>
    <m/>
    <n v="332100"/>
    <m/>
    <n v="332100"/>
    <n v="961360"/>
  </r>
  <r>
    <d v="2021-04-26T00:00:00"/>
    <n v="40122"/>
    <s v="Payment"/>
    <x v="3"/>
    <x v="14"/>
    <m/>
    <m/>
    <n v="500000"/>
    <n v="-500000"/>
    <n v="461360"/>
  </r>
  <r>
    <d v="2021-04-26T00:00:00"/>
    <n v="45289"/>
    <s v="Purchase"/>
    <x v="3"/>
    <x v="16"/>
    <m/>
    <n v="390600"/>
    <m/>
    <n v="390600"/>
    <n v="851960"/>
  </r>
  <r>
    <d v="2021-04-01T00:00:00"/>
    <m/>
    <s v="Opening"/>
    <x v="4"/>
    <x v="0"/>
    <n v="32492000"/>
    <m/>
    <m/>
    <n v="32492000"/>
    <n v="32492000"/>
  </r>
  <r>
    <d v="2021-04-02T00:00:00"/>
    <m/>
    <s v="Payment"/>
    <x v="4"/>
    <x v="17"/>
    <m/>
    <m/>
    <n v="2320000"/>
    <n v="-2320000"/>
    <n v="30172000"/>
  </r>
  <r>
    <d v="2021-04-02T00:00:00"/>
    <m/>
    <s v="Payment"/>
    <x v="4"/>
    <x v="18"/>
    <m/>
    <m/>
    <n v="3090000"/>
    <n v="-3090000"/>
    <n v="27082000"/>
  </r>
  <r>
    <d v="2021-04-02T00:00:00"/>
    <m/>
    <s v="Payment"/>
    <x v="4"/>
    <x v="19"/>
    <m/>
    <m/>
    <n v="1000000"/>
    <n v="-1000000"/>
    <n v="26082000"/>
  </r>
  <r>
    <d v="2021-04-02T00:00:00"/>
    <m/>
    <s v="Payment"/>
    <x v="4"/>
    <x v="20"/>
    <m/>
    <m/>
    <n v="450000"/>
    <n v="-450000"/>
    <n v="25632000"/>
  </r>
  <r>
    <d v="2021-04-02T00:00:00"/>
    <m/>
    <s v="Payment"/>
    <x v="4"/>
    <x v="21"/>
    <m/>
    <m/>
    <n v="500000"/>
    <n v="-500000"/>
    <n v="25132000"/>
  </r>
  <r>
    <d v="2021-04-29T00:00:00"/>
    <n v="731"/>
    <s v="Payment"/>
    <x v="4"/>
    <x v="22"/>
    <m/>
    <m/>
    <n v="6180000"/>
    <n v="-6180000"/>
    <n v="18952000"/>
  </r>
  <r>
    <d v="2021-04-01T00:00:00"/>
    <m/>
    <s v="Opening"/>
    <x v="5"/>
    <x v="0"/>
    <n v="10325000"/>
    <m/>
    <m/>
    <n v="10325000"/>
    <n v="10325000"/>
  </r>
  <r>
    <d v="2021-04-29T00:00:00"/>
    <n v="730"/>
    <s v="Payment"/>
    <x v="5"/>
    <x v="23"/>
    <m/>
    <m/>
    <n v="6408000"/>
    <n v="-6408000"/>
    <n v="3917000"/>
  </r>
  <r>
    <d v="2021-04-01T00:00:00"/>
    <m/>
    <s v="Opening"/>
    <x v="6"/>
    <x v="0"/>
    <n v="2250335"/>
    <m/>
    <m/>
    <n v="2250335"/>
    <n v="2250335"/>
  </r>
  <r>
    <d v="2021-04-01T00:00:00"/>
    <m/>
    <s v="Purchase"/>
    <x v="6"/>
    <x v="24"/>
    <m/>
    <n v="261500"/>
    <m/>
    <n v="261500"/>
    <n v="2511835"/>
  </r>
  <r>
    <d v="2021-04-02T00:00:00"/>
    <n v="3666"/>
    <s v="Purchase"/>
    <x v="6"/>
    <x v="25"/>
    <m/>
    <n v="387500"/>
    <m/>
    <n v="387500"/>
    <n v="2899335"/>
  </r>
  <r>
    <d v="2021-04-03T00:00:00"/>
    <n v="13733"/>
    <s v="Purchase"/>
    <x v="6"/>
    <x v="26"/>
    <m/>
    <n v="306200"/>
    <m/>
    <n v="306200"/>
    <n v="3205535"/>
  </r>
  <r>
    <d v="2021-04-06T00:00:00"/>
    <n v="4366"/>
    <s v="Purchase"/>
    <x v="6"/>
    <x v="27"/>
    <m/>
    <n v="357400"/>
    <m/>
    <n v="357400"/>
    <n v="3562935"/>
  </r>
  <r>
    <d v="2021-04-06T00:00:00"/>
    <n v="752"/>
    <s v="Purchase"/>
    <x v="6"/>
    <x v="28"/>
    <m/>
    <n v="295200"/>
    <m/>
    <n v="295200"/>
    <n v="3858135"/>
  </r>
  <r>
    <d v="2021-04-06T00:00:00"/>
    <n v="72"/>
    <s v="Purchase"/>
    <x v="6"/>
    <x v="29"/>
    <m/>
    <n v="155600"/>
    <m/>
    <n v="155600"/>
    <n v="4013735"/>
  </r>
  <r>
    <d v="2021-04-08T00:00:00"/>
    <n v="13865"/>
    <s v="Purchase"/>
    <x v="6"/>
    <x v="30"/>
    <m/>
    <n v="185000"/>
    <m/>
    <n v="185000"/>
    <n v="4198735"/>
  </r>
  <r>
    <d v="2021-04-09T00:00:00"/>
    <m/>
    <s v="Payment"/>
    <x v="6"/>
    <x v="31"/>
    <m/>
    <m/>
    <n v="1058650"/>
    <n v="-1058650"/>
    <n v="3140085"/>
  </r>
  <r>
    <d v="2021-04-09T00:00:00"/>
    <n v="13923"/>
    <s v="Purchase"/>
    <x v="6"/>
    <x v="32"/>
    <m/>
    <n v="55950"/>
    <m/>
    <n v="55950"/>
    <n v="3196035"/>
  </r>
  <r>
    <d v="2021-04-20T00:00:00"/>
    <n v="13919"/>
    <s v="Purchase"/>
    <x v="6"/>
    <x v="33"/>
    <m/>
    <n v="226700"/>
    <m/>
    <n v="226700"/>
    <n v="3422735"/>
  </r>
  <r>
    <d v="2021-04-21T00:00:00"/>
    <n v="4602"/>
    <s v="Purchase"/>
    <x v="6"/>
    <x v="34"/>
    <m/>
    <n v="140000"/>
    <m/>
    <n v="140000"/>
    <n v="3562735"/>
  </r>
  <r>
    <d v="2021-04-21T00:00:00"/>
    <n v="4601"/>
    <s v="Purchase"/>
    <x v="6"/>
    <x v="35"/>
    <m/>
    <n v="221200"/>
    <m/>
    <n v="221200"/>
    <n v="3783935"/>
  </r>
  <r>
    <d v="2021-04-21T00:00:00"/>
    <n v="4601"/>
    <s v="Purchase"/>
    <x v="6"/>
    <x v="36"/>
    <m/>
    <n v="115600"/>
    <m/>
    <n v="115600"/>
    <n v="3899535"/>
  </r>
  <r>
    <d v="2021-04-29T00:00:00"/>
    <n v="732"/>
    <s v="Payment"/>
    <x v="6"/>
    <x v="23"/>
    <m/>
    <m/>
    <n v="364500"/>
    <n v="-364500"/>
    <n v="3535035"/>
  </r>
  <r>
    <d v="2021-04-28T00:00:00"/>
    <n v="14325"/>
    <s v="Purchase"/>
    <x v="6"/>
    <x v="37"/>
    <m/>
    <n v="545900"/>
    <m/>
    <n v="545900"/>
    <n v="4080935"/>
  </r>
  <r>
    <d v="2021-04-01T00:00:00"/>
    <m/>
    <s v="Opening"/>
    <x v="7"/>
    <x v="0"/>
    <n v="2250700"/>
    <m/>
    <m/>
    <n v="2250700"/>
    <n v="2250700"/>
  </r>
  <r>
    <d v="2021-04-03T00:00:00"/>
    <n v="7289"/>
    <s v="Purchase"/>
    <x v="7"/>
    <x v="38"/>
    <m/>
    <n v="156780"/>
    <m/>
    <n v="156780"/>
    <n v="2407480"/>
  </r>
  <r>
    <d v="2021-04-07T00:00:00"/>
    <n v="7290"/>
    <s v="Purchase"/>
    <x v="7"/>
    <x v="39"/>
    <m/>
    <n v="118500"/>
    <m/>
    <n v="118500"/>
    <n v="2525980"/>
  </r>
  <r>
    <d v="2021-04-07T00:00:00"/>
    <n v="7290"/>
    <s v="Purchase"/>
    <x v="7"/>
    <x v="40"/>
    <m/>
    <n v="99000"/>
    <m/>
    <n v="99000"/>
    <n v="2624980"/>
  </r>
  <r>
    <d v="2021-04-19T00:00:00"/>
    <n v="7291"/>
    <s v="Purchase"/>
    <x v="7"/>
    <x v="41"/>
    <m/>
    <n v="72000"/>
    <m/>
    <n v="72000"/>
    <n v="2696980"/>
  </r>
  <r>
    <d v="2021-04-28T00:00:00"/>
    <n v="44"/>
    <s v="Payment"/>
    <x v="7"/>
    <x v="42"/>
    <m/>
    <m/>
    <n v="1000000"/>
    <n v="-1000000"/>
    <n v="1696980"/>
  </r>
  <r>
    <d v="2021-04-01T00:00:00"/>
    <m/>
    <s v="Opening"/>
    <x v="8"/>
    <x v="0"/>
    <n v="2184122"/>
    <m/>
    <m/>
    <n v="2184122"/>
    <n v="2184122"/>
  </r>
  <r>
    <d v="2021-04-05T00:00:00"/>
    <n v="55"/>
    <s v="Purchase"/>
    <x v="8"/>
    <x v="43"/>
    <m/>
    <n v="318000"/>
    <m/>
    <n v="318000"/>
    <n v="2502122"/>
  </r>
  <r>
    <d v="2021-03-23T00:00:00"/>
    <n v="132"/>
    <s v="Purchase"/>
    <x v="8"/>
    <x v="44"/>
    <m/>
    <n v="145800"/>
    <m/>
    <n v="145800"/>
    <n v="2647922"/>
  </r>
  <r>
    <d v="2021-04-19T00:00:00"/>
    <m/>
    <s v="Payment"/>
    <x v="8"/>
    <x v="31"/>
    <m/>
    <m/>
    <n v="2603672"/>
    <n v="-2603672"/>
    <n v="44250"/>
  </r>
  <r>
    <d v="2021-04-19T00:00:00"/>
    <n v="154"/>
    <s v="Purchase"/>
    <x v="8"/>
    <x v="45"/>
    <m/>
    <n v="693900"/>
    <m/>
    <n v="693900"/>
    <n v="738150"/>
  </r>
  <r>
    <d v="2021-04-01T00:00:00"/>
    <m/>
    <s v="Opening"/>
    <x v="9"/>
    <x v="0"/>
    <n v="35000"/>
    <m/>
    <m/>
    <n v="35000"/>
    <n v="35000"/>
  </r>
  <r>
    <d v="2021-04-06T00:00:00"/>
    <n v="9102"/>
    <s v="Purchase"/>
    <x v="9"/>
    <x v="46"/>
    <m/>
    <n v="17500"/>
    <m/>
    <n v="17500"/>
    <n v="52500"/>
  </r>
  <r>
    <d v="2021-04-09T00:00:00"/>
    <n v="9108"/>
    <s v="Purchase"/>
    <x v="9"/>
    <x v="47"/>
    <m/>
    <n v="87500"/>
    <m/>
    <n v="87500"/>
    <n v="140000"/>
  </r>
  <r>
    <d v="2021-04-28T00:00:00"/>
    <n v="18634"/>
    <s v="Payment"/>
    <x v="9"/>
    <x v="42"/>
    <m/>
    <m/>
    <n v="140000"/>
    <n v="-140000"/>
    <n v="0"/>
  </r>
  <r>
    <d v="2021-04-01T00:00:00"/>
    <m/>
    <s v="Opening"/>
    <x v="10"/>
    <x v="0"/>
    <n v="132500"/>
    <m/>
    <m/>
    <n v="132500"/>
    <n v="132500"/>
  </r>
  <r>
    <d v="2021-04-05T00:00:00"/>
    <m/>
    <s v="Purchase"/>
    <x v="10"/>
    <x v="48"/>
    <m/>
    <n v="62000"/>
    <m/>
    <n v="62000"/>
    <n v="194500"/>
  </r>
  <r>
    <d v="2021-04-06T00:00:00"/>
    <m/>
    <s v="Payment"/>
    <x v="10"/>
    <x v="23"/>
    <m/>
    <m/>
    <n v="194500"/>
    <n v="-194500"/>
    <n v="0"/>
  </r>
  <r>
    <d v="2021-04-06T00:00:00"/>
    <m/>
    <s v="Purchase"/>
    <x v="10"/>
    <x v="49"/>
    <m/>
    <n v="17250"/>
    <m/>
    <n v="17250"/>
    <n v="17250"/>
  </r>
  <r>
    <d v="2021-04-09T00:00:00"/>
    <n v="9359"/>
    <s v="Payment"/>
    <x v="10"/>
    <x v="23"/>
    <m/>
    <m/>
    <n v="17250"/>
    <n v="-17250"/>
    <n v="0"/>
  </r>
  <r>
    <d v="2021-04-19T00:00:00"/>
    <n v="4905"/>
    <s v="Purchase"/>
    <x v="10"/>
    <x v="50"/>
    <m/>
    <n v="119500"/>
    <m/>
    <n v="119500"/>
    <n v="119500"/>
  </r>
  <r>
    <d v="2021-04-23T00:00:00"/>
    <n v="4136"/>
    <s v="Purchase"/>
    <x v="10"/>
    <x v="51"/>
    <m/>
    <n v="16000"/>
    <m/>
    <n v="16000"/>
    <n v="135500"/>
  </r>
  <r>
    <d v="2021-04-24T00:00:00"/>
    <n v="4911"/>
    <s v="Purchase"/>
    <x v="10"/>
    <x v="52"/>
    <m/>
    <n v="250200"/>
    <m/>
    <n v="250200"/>
    <n v="385700"/>
  </r>
  <r>
    <d v="2021-04-26T00:00:00"/>
    <m/>
    <s v="Payment"/>
    <x v="10"/>
    <x v="23"/>
    <m/>
    <m/>
    <n v="385700"/>
    <n v="-385700"/>
    <n v="0"/>
  </r>
  <r>
    <d v="2021-04-01T00:00:00"/>
    <m/>
    <s v="Opening"/>
    <x v="11"/>
    <x v="0"/>
    <n v="2208992"/>
    <m/>
    <m/>
    <n v="2208992"/>
    <n v="2208992"/>
  </r>
  <r>
    <d v="2021-04-01T00:00:00"/>
    <m/>
    <s v="Opening"/>
    <x v="12"/>
    <x v="0"/>
    <n v="1809460"/>
    <m/>
    <m/>
    <n v="1809460"/>
    <n v="1809460"/>
  </r>
  <r>
    <d v="2021-04-06T00:00:00"/>
    <n v="5808"/>
    <s v="Purchase"/>
    <x v="12"/>
    <x v="53"/>
    <m/>
    <n v="20000"/>
    <m/>
    <n v="20000"/>
    <n v="1829460"/>
  </r>
  <r>
    <d v="2021-04-10T00:00:00"/>
    <m/>
    <s v="Payment"/>
    <x v="12"/>
    <x v="42"/>
    <m/>
    <m/>
    <n v="740000"/>
    <n v="-740000"/>
    <n v="1089460"/>
  </r>
  <r>
    <d v="2021-04-21T00:00:00"/>
    <m/>
    <s v="Payment"/>
    <x v="12"/>
    <x v="42"/>
    <m/>
    <m/>
    <n v="700000"/>
    <n v="-700000"/>
    <n v="389460"/>
  </r>
  <r>
    <d v="2021-04-21T00:00:00"/>
    <n v="5809"/>
    <s v="Purchase"/>
    <x v="12"/>
    <x v="54"/>
    <m/>
    <n v="740000"/>
    <m/>
    <n v="740000"/>
    <n v="1129460"/>
  </r>
  <r>
    <d v="2021-04-26T00:00:00"/>
    <m/>
    <s v="Payment"/>
    <x v="12"/>
    <x v="42"/>
    <m/>
    <m/>
    <n v="2000000"/>
    <n v="-2000000"/>
    <n v="-870540"/>
  </r>
  <r>
    <d v="2021-04-26T00:00:00"/>
    <n v="5810"/>
    <s v="Purchase"/>
    <x v="12"/>
    <x v="55"/>
    <m/>
    <n v="3948750"/>
    <m/>
    <n v="3948750"/>
    <n v="3078210"/>
  </r>
  <r>
    <d v="2021-04-27T00:00:00"/>
    <m/>
    <s v="Payment"/>
    <x v="12"/>
    <x v="56"/>
    <m/>
    <m/>
    <n v="300000"/>
    <n v="-300000"/>
    <n v="2778210"/>
  </r>
  <r>
    <d v="2021-04-01T00:00:00"/>
    <m/>
    <s v="Opening"/>
    <x v="13"/>
    <x v="0"/>
    <n v="2754773"/>
    <m/>
    <m/>
    <n v="2754773"/>
    <n v="2754773"/>
  </r>
  <r>
    <d v="2021-04-01T00:00:00"/>
    <m/>
    <s v="Opening"/>
    <x v="14"/>
    <x v="0"/>
    <n v="5934500"/>
    <m/>
    <m/>
    <n v="5934500"/>
    <n v="5934500"/>
  </r>
  <r>
    <d v="2021-04-11T00:00:00"/>
    <n v="42965"/>
    <s v="Purchase"/>
    <x v="14"/>
    <x v="57"/>
    <m/>
    <n v="420000"/>
    <m/>
    <n v="420000"/>
    <n v="6354500"/>
  </r>
  <r>
    <d v="2021-04-12T00:00:00"/>
    <n v="376"/>
    <s v="Purchase"/>
    <x v="14"/>
    <x v="58"/>
    <m/>
    <n v="1910000"/>
    <m/>
    <n v="1910000"/>
    <n v="8264500"/>
  </r>
  <r>
    <d v="2021-04-13T00:00:00"/>
    <m/>
    <s v="Payment"/>
    <x v="14"/>
    <x v="59"/>
    <m/>
    <m/>
    <n v="634000"/>
    <n v="-634000"/>
    <n v="7630500"/>
  </r>
  <r>
    <d v="2021-04-19T00:00:00"/>
    <n v="610"/>
    <s v="Payment"/>
    <x v="14"/>
    <x v="42"/>
    <m/>
    <m/>
    <n v="2500000"/>
    <n v="-2500000"/>
    <n v="5130500"/>
  </r>
  <r>
    <d v="2021-04-19T00:00:00"/>
    <n v="42972"/>
    <s v="Purchase"/>
    <x v="14"/>
    <x v="57"/>
    <m/>
    <n v="420000"/>
    <m/>
    <n v="420000"/>
    <n v="5550500"/>
  </r>
  <r>
    <d v="2021-04-22T00:00:00"/>
    <n v="40125"/>
    <s v="Purchase"/>
    <x v="14"/>
    <x v="57"/>
    <m/>
    <n v="840000"/>
    <m/>
    <n v="840000"/>
    <n v="6390500"/>
  </r>
  <r>
    <d v="2021-04-22T00:00:00"/>
    <n v="40126"/>
    <s v="Purchase"/>
    <x v="14"/>
    <x v="60"/>
    <m/>
    <n v="192000"/>
    <m/>
    <n v="192000"/>
    <n v="6582500"/>
  </r>
  <r>
    <d v="2021-04-29T00:00:00"/>
    <n v="672"/>
    <s v="Payment"/>
    <x v="14"/>
    <x v="42"/>
    <m/>
    <m/>
    <n v="1500000"/>
    <n v="-1500000"/>
    <n v="5082500"/>
  </r>
  <r>
    <d v="2021-04-29T00:00:00"/>
    <n v="647"/>
    <s v="Purchase"/>
    <x v="14"/>
    <x v="57"/>
    <m/>
    <n v="420000"/>
    <m/>
    <n v="420000"/>
    <n v="5502500"/>
  </r>
  <r>
    <d v="2021-04-01T00:00:00"/>
    <m/>
    <s v="Opening"/>
    <x v="15"/>
    <x v="0"/>
    <m/>
    <m/>
    <m/>
    <n v="0"/>
    <m/>
  </r>
  <r>
    <d v="2021-04-03T00:00:00"/>
    <n v="11863"/>
    <s v="Purchase"/>
    <x v="15"/>
    <x v="61"/>
    <m/>
    <n v="117000.01"/>
    <m/>
    <n v="117000.01"/>
    <m/>
  </r>
  <r>
    <d v="2021-04-01T00:00:00"/>
    <m/>
    <s v="Opening"/>
    <x v="16"/>
    <x v="0"/>
    <m/>
    <m/>
    <m/>
    <n v="0"/>
    <n v="0"/>
  </r>
  <r>
    <d v="2021-04-02T00:00:00"/>
    <n v="29854"/>
    <s v="Purchase"/>
    <x v="16"/>
    <x v="62"/>
    <m/>
    <n v="269400"/>
    <m/>
    <n v="269400"/>
    <n v="269400"/>
  </r>
  <r>
    <d v="2021-04-06T00:00:00"/>
    <n v="3537"/>
    <s v="Payment"/>
    <x v="16"/>
    <x v="23"/>
    <m/>
    <m/>
    <n v="269400"/>
    <n v="-269400"/>
    <n v="0"/>
  </r>
  <r>
    <d v="2021-04-22T00:00:00"/>
    <n v="29861"/>
    <s v="Purchase"/>
    <x v="16"/>
    <x v="63"/>
    <m/>
    <n v="165640"/>
    <m/>
    <n v="165640"/>
    <n v="165640"/>
  </r>
  <r>
    <d v="2021-04-22T00:00:00"/>
    <n v="29861"/>
    <s v="Purchase"/>
    <x v="16"/>
    <x v="64"/>
    <m/>
    <n v="18500"/>
    <m/>
    <n v="18500"/>
    <n v="184140"/>
  </r>
  <r>
    <d v="2021-04-26T00:00:00"/>
    <m/>
    <s v="Payment"/>
    <x v="16"/>
    <x v="23"/>
    <m/>
    <m/>
    <n v="184140"/>
    <n v="-184140"/>
    <n v="0"/>
  </r>
  <r>
    <d v="2021-04-26T00:00:00"/>
    <n v="29862"/>
    <s v="Purchase"/>
    <x v="16"/>
    <x v="65"/>
    <m/>
    <n v="190950"/>
    <m/>
    <n v="190950"/>
    <n v="190950"/>
  </r>
  <r>
    <d v="2021-04-01T00:00:00"/>
    <m/>
    <s v="Opening"/>
    <x v="17"/>
    <x v="0"/>
    <n v="1145500"/>
    <m/>
    <m/>
    <n v="1145500"/>
    <n v="1145500"/>
  </r>
  <r>
    <d v="2021-04-01T00:00:00"/>
    <m/>
    <s v="Opening"/>
    <x v="18"/>
    <x v="0"/>
    <n v="143000"/>
    <m/>
    <m/>
    <n v="143000"/>
    <n v="143000"/>
  </r>
  <r>
    <d v="2021-04-01T00:00:00"/>
    <m/>
    <s v="Opening"/>
    <x v="19"/>
    <x v="0"/>
    <n v="1441917"/>
    <m/>
    <m/>
    <n v="1441917"/>
    <n v="1441917"/>
  </r>
  <r>
    <d v="2021-04-02T00:00:00"/>
    <m/>
    <s v="Purchase"/>
    <x v="19"/>
    <x v="66"/>
    <m/>
    <n v="118044"/>
    <m/>
    <n v="118044"/>
    <n v="1559961"/>
  </r>
  <r>
    <d v="2021-04-02T00:00:00"/>
    <n v="263211"/>
    <s v="Purchase"/>
    <x v="19"/>
    <x v="67"/>
    <m/>
    <n v="179165"/>
    <m/>
    <n v="179165"/>
    <n v="1739126"/>
  </r>
  <r>
    <d v="2021-04-06T00:00:00"/>
    <n v="259211"/>
    <s v="Purchase"/>
    <x v="19"/>
    <x v="68"/>
    <m/>
    <n v="51520"/>
    <m/>
    <n v="51520"/>
    <n v="1790646"/>
  </r>
  <r>
    <d v="2021-04-09T00:00:00"/>
    <n v="125211"/>
    <s v="Payment"/>
    <x v="19"/>
    <x v="42"/>
    <m/>
    <m/>
    <n v="1000000"/>
    <n v="-1000000"/>
    <n v="790646"/>
  </r>
  <r>
    <d v="2021-04-09T00:00:00"/>
    <n v="277211"/>
    <s v="Purchase"/>
    <x v="19"/>
    <x v="69"/>
    <m/>
    <n v="188818"/>
    <m/>
    <n v="188818"/>
    <n v="979464"/>
  </r>
  <r>
    <d v="2021-04-09T00:00:00"/>
    <n v="283211"/>
    <s v="Purchase"/>
    <x v="19"/>
    <x v="70"/>
    <m/>
    <n v="116029"/>
    <m/>
    <n v="116029"/>
    <n v="1095493"/>
  </r>
  <r>
    <d v="2021-04-19T00:00:00"/>
    <n v="128211"/>
    <s v="Payment"/>
    <x v="19"/>
    <x v="42"/>
    <m/>
    <m/>
    <n v="500000"/>
    <n v="-500000"/>
    <n v="595493"/>
  </r>
  <r>
    <d v="2021-04-19T00:00:00"/>
    <n v="300211"/>
    <s v="Purchase"/>
    <x v="19"/>
    <x v="71"/>
    <m/>
    <n v="373630"/>
    <m/>
    <n v="373630"/>
    <n v="969123"/>
  </r>
  <r>
    <d v="2021-04-21T00:00:00"/>
    <n v="307211"/>
    <s v="Purchase"/>
    <x v="19"/>
    <x v="72"/>
    <m/>
    <n v="217311"/>
    <m/>
    <n v="217311"/>
    <n v="1186434"/>
  </r>
  <r>
    <d v="2021-04-23T00:00:00"/>
    <n v="315211"/>
    <s v="Purchase"/>
    <x v="19"/>
    <x v="73"/>
    <m/>
    <n v="239450"/>
    <m/>
    <n v="239450"/>
    <n v="1425884"/>
  </r>
  <r>
    <d v="2021-04-23T00:00:00"/>
    <n v="318211"/>
    <s v="Purchase"/>
    <x v="19"/>
    <x v="74"/>
    <m/>
    <n v="153821"/>
    <m/>
    <n v="153821"/>
    <n v="1579705"/>
  </r>
  <r>
    <d v="2021-04-26T00:00:00"/>
    <n v="331211"/>
    <s v="Purchase"/>
    <x v="19"/>
    <x v="75"/>
    <m/>
    <n v="143560"/>
    <m/>
    <n v="143560"/>
    <n v="1723265"/>
  </r>
  <r>
    <d v="2021-04-28T00:00:00"/>
    <n v="146211"/>
    <s v="Payment"/>
    <x v="19"/>
    <x v="42"/>
    <m/>
    <m/>
    <n v="500000"/>
    <n v="-500000"/>
    <n v="1223265"/>
  </r>
  <r>
    <d v="2021-04-28T00:00:00"/>
    <n v="364211"/>
    <s v="Purchase"/>
    <x v="19"/>
    <x v="76"/>
    <m/>
    <n v="305365"/>
    <m/>
    <n v="305365"/>
    <n v="1528630"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  <r>
    <m/>
    <m/>
    <m/>
    <x v="20"/>
    <x v="77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:F128" firstHeaderRow="0" firstDataRow="1" firstDataCol="2"/>
  <pivotFields count="1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2">
        <item x="0"/>
        <item x="1"/>
        <item x="2"/>
        <item x="3"/>
        <item x="5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9">
        <item x="65"/>
        <item x="14"/>
        <item x="30"/>
        <item x="69"/>
        <item x="7"/>
        <item x="51"/>
        <item x="24"/>
        <item x="48"/>
        <item x="26"/>
        <item x="38"/>
        <item x="15"/>
        <item x="55"/>
        <item x="5"/>
        <item x="1"/>
        <item x="62"/>
        <item x="75"/>
        <item x="52"/>
        <item x="60"/>
        <item x="64"/>
        <item x="16"/>
        <item x="45"/>
        <item x="44"/>
        <item x="41"/>
        <item x="50"/>
        <item x="49"/>
        <item x="68"/>
        <item x="73"/>
        <item x="57"/>
        <item x="0"/>
        <item x="8"/>
        <item x="12"/>
        <item x="3"/>
        <item x="11"/>
        <item x="58"/>
        <item x="6"/>
        <item x="2"/>
        <item x="13"/>
        <item x="39"/>
        <item x="40"/>
        <item x="56"/>
        <item x="47"/>
        <item x="18"/>
        <item x="17"/>
        <item x="22"/>
        <item x="76"/>
        <item x="28"/>
        <item x="66"/>
        <item x="35"/>
        <item x="61"/>
        <item x="33"/>
        <item x="37"/>
        <item x="71"/>
        <item x="54"/>
        <item x="9"/>
        <item x="53"/>
        <item x="10"/>
        <item x="29"/>
        <item x="74"/>
        <item x="25"/>
        <item x="27"/>
        <item x="34"/>
        <item x="70"/>
        <item x="67"/>
        <item x="59"/>
        <item x="72"/>
        <item x="46"/>
        <item x="32"/>
        <item x="36"/>
        <item x="19"/>
        <item x="21"/>
        <item x="20"/>
        <item x="31"/>
        <item x="42"/>
        <item x="23"/>
        <item x="4"/>
        <item x="43"/>
        <item x="63"/>
        <item x="7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27">
    <i>
      <x/>
      <x v="28"/>
    </i>
    <i t="default">
      <x/>
    </i>
    <i>
      <x v="1"/>
      <x v="28"/>
    </i>
    <i t="default">
      <x v="1"/>
    </i>
    <i>
      <x v="2"/>
      <x v="4"/>
    </i>
    <i r="1">
      <x v="12"/>
    </i>
    <i r="1">
      <x v="13"/>
    </i>
    <i r="1">
      <x v="28"/>
    </i>
    <i r="1">
      <x v="29"/>
    </i>
    <i r="1">
      <x v="30"/>
    </i>
    <i r="1">
      <x v="31"/>
    </i>
    <i r="1">
      <x v="32"/>
    </i>
    <i r="1">
      <x v="34"/>
    </i>
    <i r="1">
      <x v="35"/>
    </i>
    <i r="1">
      <x v="36"/>
    </i>
    <i r="1">
      <x v="53"/>
    </i>
    <i r="1">
      <x v="55"/>
    </i>
    <i r="1">
      <x v="74"/>
    </i>
    <i t="default">
      <x v="2"/>
    </i>
    <i>
      <x v="3"/>
      <x v="1"/>
    </i>
    <i r="1">
      <x v="10"/>
    </i>
    <i r="1">
      <x v="19"/>
    </i>
    <i r="1">
      <x v="28"/>
    </i>
    <i t="default">
      <x v="3"/>
    </i>
    <i>
      <x v="4"/>
      <x v="28"/>
    </i>
    <i r="1">
      <x v="73"/>
    </i>
    <i t="default">
      <x v="4"/>
    </i>
    <i>
      <x v="5"/>
      <x v="28"/>
    </i>
    <i r="1">
      <x v="41"/>
    </i>
    <i r="1">
      <x v="42"/>
    </i>
    <i r="1">
      <x v="43"/>
    </i>
    <i r="1">
      <x v="68"/>
    </i>
    <i r="1">
      <x v="69"/>
    </i>
    <i r="1">
      <x v="70"/>
    </i>
    <i t="default">
      <x v="5"/>
    </i>
    <i>
      <x v="6"/>
      <x v="2"/>
    </i>
    <i r="1">
      <x v="6"/>
    </i>
    <i r="1">
      <x v="8"/>
    </i>
    <i r="1">
      <x v="28"/>
    </i>
    <i r="1">
      <x v="45"/>
    </i>
    <i r="1">
      <x v="47"/>
    </i>
    <i r="1">
      <x v="49"/>
    </i>
    <i r="1">
      <x v="50"/>
    </i>
    <i r="1">
      <x v="56"/>
    </i>
    <i r="1">
      <x v="58"/>
    </i>
    <i r="1">
      <x v="59"/>
    </i>
    <i r="1">
      <x v="60"/>
    </i>
    <i r="1">
      <x v="66"/>
    </i>
    <i r="1">
      <x v="67"/>
    </i>
    <i r="1">
      <x v="71"/>
    </i>
    <i r="1">
      <x v="73"/>
    </i>
    <i t="default">
      <x v="6"/>
    </i>
    <i>
      <x v="7"/>
      <x v="9"/>
    </i>
    <i r="1">
      <x v="22"/>
    </i>
    <i r="1">
      <x v="28"/>
    </i>
    <i r="1">
      <x v="37"/>
    </i>
    <i r="1">
      <x v="38"/>
    </i>
    <i r="1">
      <x v="72"/>
    </i>
    <i t="default">
      <x v="7"/>
    </i>
    <i>
      <x v="8"/>
      <x v="20"/>
    </i>
    <i r="1">
      <x v="21"/>
    </i>
    <i r="1">
      <x v="28"/>
    </i>
    <i r="1">
      <x v="71"/>
    </i>
    <i r="1">
      <x v="75"/>
    </i>
    <i t="default">
      <x v="8"/>
    </i>
    <i>
      <x v="9"/>
      <x v="28"/>
    </i>
    <i r="1">
      <x v="40"/>
    </i>
    <i r="1">
      <x v="65"/>
    </i>
    <i r="1">
      <x v="72"/>
    </i>
    <i t="default">
      <x v="9"/>
    </i>
    <i>
      <x v="10"/>
      <x v="5"/>
    </i>
    <i r="1">
      <x v="7"/>
    </i>
    <i r="1">
      <x v="16"/>
    </i>
    <i r="1">
      <x v="23"/>
    </i>
    <i r="1">
      <x v="24"/>
    </i>
    <i r="1">
      <x v="28"/>
    </i>
    <i r="1">
      <x v="73"/>
    </i>
    <i t="default">
      <x v="10"/>
    </i>
    <i>
      <x v="11"/>
      <x v="28"/>
    </i>
    <i t="default">
      <x v="11"/>
    </i>
    <i>
      <x v="12"/>
      <x v="11"/>
    </i>
    <i r="1">
      <x v="28"/>
    </i>
    <i r="1">
      <x v="39"/>
    </i>
    <i r="1">
      <x v="52"/>
    </i>
    <i r="1">
      <x v="54"/>
    </i>
    <i r="1">
      <x v="72"/>
    </i>
    <i t="default">
      <x v="12"/>
    </i>
    <i>
      <x v="13"/>
      <x v="28"/>
    </i>
    <i t="default">
      <x v="13"/>
    </i>
    <i>
      <x v="14"/>
      <x v="17"/>
    </i>
    <i r="1">
      <x v="27"/>
    </i>
    <i r="1">
      <x v="28"/>
    </i>
    <i r="1">
      <x v="33"/>
    </i>
    <i r="1">
      <x v="63"/>
    </i>
    <i r="1">
      <x v="72"/>
    </i>
    <i t="default">
      <x v="14"/>
    </i>
    <i>
      <x v="15"/>
      <x v="28"/>
    </i>
    <i r="1">
      <x v="48"/>
    </i>
    <i t="default">
      <x v="15"/>
    </i>
    <i>
      <x v="16"/>
      <x/>
    </i>
    <i r="1">
      <x v="14"/>
    </i>
    <i r="1">
      <x v="18"/>
    </i>
    <i r="1">
      <x v="28"/>
    </i>
    <i r="1">
      <x v="73"/>
    </i>
    <i r="1">
      <x v="76"/>
    </i>
    <i t="default">
      <x v="16"/>
    </i>
    <i>
      <x v="17"/>
      <x v="28"/>
    </i>
    <i t="default">
      <x v="17"/>
    </i>
    <i>
      <x v="18"/>
      <x v="28"/>
    </i>
    <i t="default">
      <x v="18"/>
    </i>
    <i>
      <x v="19"/>
      <x v="3"/>
    </i>
    <i r="1">
      <x v="15"/>
    </i>
    <i r="1">
      <x v="25"/>
    </i>
    <i r="1">
      <x v="26"/>
    </i>
    <i r="1">
      <x v="28"/>
    </i>
    <i r="1">
      <x v="44"/>
    </i>
    <i r="1">
      <x v="46"/>
    </i>
    <i r="1">
      <x v="51"/>
    </i>
    <i r="1">
      <x v="57"/>
    </i>
    <i r="1">
      <x v="61"/>
    </i>
    <i r="1">
      <x v="62"/>
    </i>
    <i r="1">
      <x v="64"/>
    </i>
    <i r="1">
      <x v="72"/>
    </i>
    <i t="default">
      <x v="19"/>
    </i>
    <i>
      <x v="20"/>
      <x v="77"/>
    </i>
    <i t="default"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Content.Opening" fld="5" baseField="4" baseItem="28"/>
    <dataField name=" Content.Purchase" fld="6" baseField="4" baseItem="28"/>
    <dataField name=" Content.Payment" fld="7" baseField="4" baseItem="28"/>
    <dataField name=" Content.Balance" fld="8" baseField="4" baseItem="28"/>
  </dataFields>
  <formats count="33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3" type="button" dataOnly="0" labelOnly="1" outline="0" axis="axisRow" fieldPosition="0"/>
    </format>
    <format dxfId="41">
      <pivotArea field="4" type="button" dataOnly="0" labelOnly="1" outline="0" axis="axisRow" fieldPosition="1"/>
    </format>
    <format dxfId="40">
      <pivotArea dataOnly="0" labelOnly="1" outline="0" fieldPosition="0">
        <references count="1">
          <reference field="3" count="0"/>
        </references>
      </pivotArea>
    </format>
    <format dxfId="39">
      <pivotArea dataOnly="0" labelOnly="1" outline="0" fieldPosition="0">
        <references count="1">
          <reference field="3" count="0" defaultSubtotal="1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2">
          <reference field="3" count="1" selected="0">
            <x v="0"/>
          </reference>
          <reference field="4" count="1">
            <x v="28"/>
          </reference>
        </references>
      </pivotArea>
    </format>
    <format dxfId="36">
      <pivotArea dataOnly="0" labelOnly="1" outline="0" fieldPosition="0">
        <references count="2">
          <reference field="3" count="1" selected="0">
            <x v="1"/>
          </reference>
          <reference field="4" count="1">
            <x v="28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2"/>
          </reference>
          <reference field="4" count="14">
            <x v="4"/>
            <x v="12"/>
            <x v="13"/>
            <x v="28"/>
            <x v="29"/>
            <x v="30"/>
            <x v="31"/>
            <x v="32"/>
            <x v="34"/>
            <x v="35"/>
            <x v="36"/>
            <x v="53"/>
            <x v="55"/>
            <x v="74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3"/>
          </reference>
          <reference field="4" count="4">
            <x v="1"/>
            <x v="10"/>
            <x v="19"/>
            <x v="28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4"/>
          </reference>
          <reference field="4" count="2">
            <x v="28"/>
            <x v="73"/>
          </reference>
        </references>
      </pivotArea>
    </format>
    <format dxfId="32">
      <pivotArea dataOnly="0" labelOnly="1" outline="0" fieldPosition="0">
        <references count="2">
          <reference field="3" count="1" selected="0">
            <x v="5"/>
          </reference>
          <reference field="4" count="7">
            <x v="28"/>
            <x v="41"/>
            <x v="42"/>
            <x v="43"/>
            <x v="68"/>
            <x v="69"/>
            <x v="70"/>
          </reference>
        </references>
      </pivotArea>
    </format>
    <format dxfId="31">
      <pivotArea dataOnly="0" labelOnly="1" outline="0" fieldPosition="0">
        <references count="2">
          <reference field="3" count="1" selected="0">
            <x v="6"/>
          </reference>
          <reference field="4" count="16">
            <x v="2"/>
            <x v="6"/>
            <x v="8"/>
            <x v="28"/>
            <x v="45"/>
            <x v="47"/>
            <x v="49"/>
            <x v="50"/>
            <x v="56"/>
            <x v="58"/>
            <x v="59"/>
            <x v="60"/>
            <x v="66"/>
            <x v="67"/>
            <x v="71"/>
            <x v="73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7"/>
          </reference>
          <reference field="4" count="6">
            <x v="9"/>
            <x v="22"/>
            <x v="28"/>
            <x v="37"/>
            <x v="38"/>
            <x v="72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8"/>
          </reference>
          <reference field="4" count="5">
            <x v="20"/>
            <x v="21"/>
            <x v="28"/>
            <x v="71"/>
            <x v="75"/>
          </reference>
        </references>
      </pivotArea>
    </format>
    <format dxfId="28">
      <pivotArea dataOnly="0" labelOnly="1" outline="0" fieldPosition="0">
        <references count="2">
          <reference field="3" count="1" selected="0">
            <x v="9"/>
          </reference>
          <reference field="4" count="4">
            <x v="28"/>
            <x v="40"/>
            <x v="65"/>
            <x v="72"/>
          </reference>
        </references>
      </pivotArea>
    </format>
    <format dxfId="27">
      <pivotArea dataOnly="0" labelOnly="1" outline="0" fieldPosition="0">
        <references count="2">
          <reference field="3" count="1" selected="0">
            <x v="10"/>
          </reference>
          <reference field="4" count="7">
            <x v="5"/>
            <x v="7"/>
            <x v="16"/>
            <x v="23"/>
            <x v="24"/>
            <x v="28"/>
            <x v="73"/>
          </reference>
        </references>
      </pivotArea>
    </format>
    <format dxfId="26">
      <pivotArea dataOnly="0" labelOnly="1" outline="0" fieldPosition="0">
        <references count="2">
          <reference field="3" count="1" selected="0">
            <x v="11"/>
          </reference>
          <reference field="4" count="1">
            <x v="28"/>
          </reference>
        </references>
      </pivotArea>
    </format>
    <format dxfId="25">
      <pivotArea dataOnly="0" labelOnly="1" outline="0" fieldPosition="0">
        <references count="2">
          <reference field="3" count="1" selected="0">
            <x v="12"/>
          </reference>
          <reference field="4" count="6">
            <x v="11"/>
            <x v="28"/>
            <x v="39"/>
            <x v="52"/>
            <x v="54"/>
            <x v="72"/>
          </reference>
        </references>
      </pivotArea>
    </format>
    <format dxfId="24">
      <pivotArea dataOnly="0" labelOnly="1" outline="0" fieldPosition="0">
        <references count="2">
          <reference field="3" count="1" selected="0">
            <x v="13"/>
          </reference>
          <reference field="4" count="1">
            <x v="28"/>
          </reference>
        </references>
      </pivotArea>
    </format>
    <format dxfId="23">
      <pivotArea dataOnly="0" labelOnly="1" outline="0" fieldPosition="0">
        <references count="2">
          <reference field="3" count="1" selected="0">
            <x v="14"/>
          </reference>
          <reference field="4" count="6">
            <x v="17"/>
            <x v="27"/>
            <x v="28"/>
            <x v="33"/>
            <x v="63"/>
            <x v="72"/>
          </reference>
        </references>
      </pivotArea>
    </format>
    <format dxfId="22">
      <pivotArea dataOnly="0" labelOnly="1" outline="0" fieldPosition="0">
        <references count="2">
          <reference field="3" count="1" selected="0">
            <x v="15"/>
          </reference>
          <reference field="4" count="2">
            <x v="28"/>
            <x v="48"/>
          </reference>
        </references>
      </pivotArea>
    </format>
    <format dxfId="21">
      <pivotArea dataOnly="0" labelOnly="1" outline="0" fieldPosition="0">
        <references count="2">
          <reference field="3" count="1" selected="0">
            <x v="16"/>
          </reference>
          <reference field="4" count="6">
            <x v="0"/>
            <x v="14"/>
            <x v="18"/>
            <x v="28"/>
            <x v="73"/>
            <x v="76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7"/>
          </reference>
          <reference field="4" count="1">
            <x v="28"/>
          </reference>
        </references>
      </pivotArea>
    </format>
    <format dxfId="19">
      <pivotArea dataOnly="0" labelOnly="1" outline="0" fieldPosition="0">
        <references count="2">
          <reference field="3" count="1" selected="0">
            <x v="18"/>
          </reference>
          <reference field="4" count="1">
            <x v="28"/>
          </reference>
        </references>
      </pivotArea>
    </format>
    <format dxfId="18">
      <pivotArea dataOnly="0" labelOnly="1" outline="0" fieldPosition="0">
        <references count="2">
          <reference field="3" count="1" selected="0">
            <x v="19"/>
          </reference>
          <reference field="4" count="13">
            <x v="3"/>
            <x v="15"/>
            <x v="25"/>
            <x v="26"/>
            <x v="28"/>
            <x v="44"/>
            <x v="46"/>
            <x v="51"/>
            <x v="57"/>
            <x v="61"/>
            <x v="62"/>
            <x v="64"/>
            <x v="72"/>
          </reference>
        </references>
      </pivotArea>
    </format>
    <format dxfId="17">
      <pivotArea dataOnly="0" labelOnly="1" outline="0" fieldPosition="0">
        <references count="2">
          <reference field="3" count="1" selected="0">
            <x v="20"/>
          </reference>
          <reference field="4" count="1">
            <x v="77"/>
          </reference>
        </references>
      </pivotArea>
    </format>
    <format dxfId="1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">
      <pivotArea outline="0" collapsedLevelsAreSubtotals="1" fieldPosition="0"/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Content.Date" tableColumnId="21"/>
      <queryTableField id="2" name="Content.Vr.No" tableColumnId="22"/>
      <queryTableField id="3" name="Content.A/C Tipe" tableColumnId="23"/>
      <queryTableField id="4" name="Content.Supplier Name" tableColumnId="24"/>
      <queryTableField id="5" name="Content.Item Name" tableColumnId="25"/>
      <queryTableField id="6" name="Content.Opening" tableColumnId="26"/>
      <queryTableField id="7" name="Content.Purchase" tableColumnId="27"/>
      <queryTableField id="8" name="Content.Payment" tableColumnId="28"/>
      <queryTableField id="9" name="Content.Balance" tableColumnId="29"/>
      <queryTableField id="10" name="Content.Total Balance" tableColumnId="30"/>
    </queryTableFields>
  </queryTableRefresh>
</queryTable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rmax" displayName="Armax" ref="A1:J2" totalsRowShown="0" headerRowDxfId="293" dataDxfId="292">
  <autoFilter ref="A1:J2"/>
  <tableColumns count="10">
    <tableColumn id="1" name="Date" dataDxfId="291"/>
    <tableColumn id="2" name="Vr.No" dataDxfId="290"/>
    <tableColumn id="3" name="A/C Tipe" dataDxfId="289"/>
    <tableColumn id="4" name="Supplier Name" dataDxfId="288"/>
    <tableColumn id="5" name="Item Name" dataDxfId="287"/>
    <tableColumn id="6" name="Opening" dataDxfId="286" dataCellStyle="Comma"/>
    <tableColumn id="7" name="Purchase" dataDxfId="285" dataCellStyle="Comma"/>
    <tableColumn id="8" name="Payment" dataDxfId="284" dataCellStyle="Comma"/>
    <tableColumn id="9" name="Balance" dataDxfId="283" dataCellStyle="Comma">
      <calculatedColumnFormula>Armax[[#This Row],[Opening]]+Armax[[#This Row],[Purchase]]-Armax[[#This Row],[Payment]]</calculatedColumnFormula>
    </tableColumn>
    <tableColumn id="10" name="Total Balance" dataDxfId="282">
      <calculatedColumnFormula>Armax[Balance]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AAM" displayName="AAM" ref="A1:J2" totalsRowShown="0" headerRowDxfId="281" dataDxfId="280">
  <autoFilter ref="A1:J2"/>
  <tableColumns count="10">
    <tableColumn id="1" name="Date" dataDxfId="279"/>
    <tableColumn id="2" name="Vr.No" dataDxfId="278"/>
    <tableColumn id="3" name="A/C Tipe" dataDxfId="277"/>
    <tableColumn id="4" name="Supplier Name" dataDxfId="276"/>
    <tableColumn id="5" name="Item Name" dataDxfId="275"/>
    <tableColumn id="6" name="Opening" dataDxfId="274" dataCellStyle="Comma"/>
    <tableColumn id="7" name="Purchase" dataDxfId="273" dataCellStyle="Comma"/>
    <tableColumn id="8" name="Payment" dataDxfId="272" dataCellStyle="Comma"/>
    <tableColumn id="9" name="Balance" dataDxfId="271" dataCellStyle="Comma">
      <calculatedColumnFormula>AAM[[#This Row],[Opening]]+AAM[[#This Row],[Purchase]]-AAM[[#This Row],[Payment]]</calculatedColumnFormula>
    </tableColumn>
    <tableColumn id="10" name="Total Balance" dataDxfId="270">
      <calculatedColumnFormula>AAM[Balance]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3" name="AMT" displayName="AMT" ref="A1:J16" totalsRowShown="0" headerRowDxfId="269" dataDxfId="268">
  <autoFilter ref="A1:J16"/>
  <sortState ref="A2:I17">
    <sortCondition ref="A1:A17"/>
  </sortState>
  <tableColumns count="10">
    <tableColumn id="1" name="Date" dataDxfId="267"/>
    <tableColumn id="2" name="Vr.No" dataDxfId="266"/>
    <tableColumn id="3" name="A/C Tipe" dataDxfId="265"/>
    <tableColumn id="4" name="Supplier Name" dataDxfId="264"/>
    <tableColumn id="5" name="Item Name" dataDxfId="263"/>
    <tableColumn id="6" name="Opening" dataDxfId="262" dataCellStyle="Comma"/>
    <tableColumn id="7" name="Purchase" dataDxfId="261" dataCellStyle="Comma"/>
    <tableColumn id="8" name="Payment" dataDxfId="260" dataCellStyle="Comma"/>
    <tableColumn id="9" name="Balance" dataDxfId="259" dataCellStyle="Comma">
      <calculatedColumnFormula>AMT[[#This Row],[Opening]]+AMT[[#This Row],[Purchase]]-AMT[[#This Row],[Payment]]</calculatedColumnFormula>
    </tableColumn>
    <tableColumn id="10" name="Total Balance" dataDxfId="258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4" name="DTL" displayName="DTL" ref="A1:J6" totalsRowShown="0" headerRowDxfId="257" dataDxfId="256">
  <autoFilter ref="A1:J6"/>
  <tableColumns count="10">
    <tableColumn id="1" name="Date" dataDxfId="255"/>
    <tableColumn id="2" name="Vr.No" dataDxfId="254"/>
    <tableColumn id="3" name="A/C Tipe" dataDxfId="253"/>
    <tableColumn id="4" name="Supplier Name" dataDxfId="252"/>
    <tableColumn id="5" name="Item Name" dataDxfId="251"/>
    <tableColumn id="6" name="Opening" dataDxfId="250" dataCellStyle="Comma"/>
    <tableColumn id="7" name="Purchase" dataDxfId="249" dataCellStyle="Comma"/>
    <tableColumn id="8" name="Payment" dataDxfId="248" dataCellStyle="Comma"/>
    <tableColumn id="9" name="Balance" dataDxfId="247" dataCellStyle="Comma">
      <calculatedColumnFormula>DTL[[#This Row],[Opening]]+DTL[[#This Row],[Purchase]]-DTL[[#This Row],[Payment]]</calculatedColumnFormula>
    </tableColumn>
    <tableColumn id="10" name="Total Balance" dataDxfId="246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BS_TRI" displayName="GBS_TRI" ref="A1:J8" totalsRowShown="0" headerRowDxfId="245" dataDxfId="244">
  <autoFilter ref="A1:J8"/>
  <tableColumns count="10">
    <tableColumn id="1" name="Date" dataDxfId="243"/>
    <tableColumn id="2" name="Vr.No" dataDxfId="242"/>
    <tableColumn id="3" name="A/C Tipe" dataDxfId="241"/>
    <tableColumn id="4" name="Supplier Name" dataDxfId="240"/>
    <tableColumn id="5" name="Item Name" dataDxfId="239"/>
    <tableColumn id="6" name="Opening" dataDxfId="238" dataCellStyle="Comma"/>
    <tableColumn id="7" name="Purchase" dataDxfId="237" dataCellStyle="Comma"/>
    <tableColumn id="8" name="Payment" dataDxfId="236" dataCellStyle="Comma"/>
    <tableColumn id="9" name="Balance" dataDxfId="235" dataCellStyle="Comma">
      <calculatedColumnFormula>GBS_TRI[[#This Row],[Opening]]+GBS_TRI[[#This Row],[Purchase]]-GBS_TRI[[#This Row],[Payment]]</calculatedColumnFormula>
    </tableColumn>
    <tableColumn id="10" name="Total Balance" dataDxfId="234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6" name="GBS_ENG" displayName="GBS_ENG" ref="A1:J3" totalsRowShown="0" headerRowDxfId="233" dataDxfId="232">
  <autoFilter ref="A1:J3"/>
  <tableColumns count="10">
    <tableColumn id="1" name="Date" dataDxfId="231"/>
    <tableColumn id="2" name="Vr.No" dataDxfId="230"/>
    <tableColumn id="3" name="A/C Tipe" dataDxfId="229"/>
    <tableColumn id="4" name="Supplier Name" dataDxfId="228"/>
    <tableColumn id="5" name="Item Name" dataDxfId="227"/>
    <tableColumn id="6" name="Opening" dataDxfId="226" dataCellStyle="Comma"/>
    <tableColumn id="7" name="Purchase" dataDxfId="225" dataCellStyle="Comma"/>
    <tableColumn id="8" name="Payment" dataDxfId="224" dataCellStyle="Comma"/>
    <tableColumn id="9" name="Balance" dataDxfId="223" dataCellStyle="Comma">
      <calculatedColumnFormula>GBS_ENG[[#This Row],[Opening]]+GBS_ENG[[#This Row],[Purchase]]-GBS_ENG[[#This Row],[Payment]]</calculatedColumnFormula>
    </tableColumn>
    <tableColumn id="10" name="Total Balance" dataDxfId="222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8" name="GBS_SP" displayName="GBS_SP" ref="A1:J17" totalsRowShown="0" headerRowDxfId="221" dataDxfId="220">
  <autoFilter ref="A1:J17"/>
  <tableColumns count="10">
    <tableColumn id="1" name="Date" dataDxfId="219"/>
    <tableColumn id="2" name="Vr.No" dataDxfId="218"/>
    <tableColumn id="3" name="A/C Tipe" dataDxfId="217"/>
    <tableColumn id="4" name="Supplier Name" dataDxfId="216"/>
    <tableColumn id="5" name="Item Name" dataDxfId="215"/>
    <tableColumn id="6" name="Opening" dataDxfId="214" dataCellStyle="Comma"/>
    <tableColumn id="7" name="Purchase" dataDxfId="213" dataCellStyle="Comma"/>
    <tableColumn id="8" name="Payment" dataDxfId="212" dataCellStyle="Comma"/>
    <tableColumn id="9" name="Balance" dataDxfId="211" dataCellStyle="Comma">
      <calculatedColumnFormula>GBS_SP[[#This Row],[Opening]]+GBS_SP[[#This Row],[Purchase]]-GBS_SP[[#This Row],[Payment]]</calculatedColumnFormula>
    </tableColumn>
    <tableColumn id="10" name="Total Balance" dataDxfId="210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9" name="KWH" displayName="KWH" ref="A1:J7" totalsRowShown="0" headerRowDxfId="209" dataDxfId="208">
  <autoFilter ref="A1:J7"/>
  <tableColumns count="10">
    <tableColumn id="1" name="Date" dataDxfId="207"/>
    <tableColumn id="2" name="Vr.No" dataDxfId="206"/>
    <tableColumn id="3" name="A/C Tipe" dataDxfId="205"/>
    <tableColumn id="4" name="Supplier Name" dataDxfId="204"/>
    <tableColumn id="5" name="Item Name" dataDxfId="203"/>
    <tableColumn id="6" name="Opening" dataDxfId="202" dataCellStyle="Comma"/>
    <tableColumn id="7" name="Purchase" dataDxfId="201" dataCellStyle="Comma"/>
    <tableColumn id="8" name="Payment" dataDxfId="200" dataCellStyle="Comma"/>
    <tableColumn id="9" name="Balance" dataDxfId="199" dataCellStyle="Comma">
      <calculatedColumnFormula>KWH[[#This Row],[Opening]]+KWH[[#This Row],[Purchase]]-KWH[[#This Row],[Payment]]</calculatedColumnFormula>
    </tableColumn>
    <tableColumn id="10" name="Total Balance" dataDxfId="198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0" name="KYINNLOON" displayName="KYINNLOON" ref="A1:J6" totalsRowShown="0" headerRowDxfId="197" dataDxfId="196">
  <autoFilter ref="A1:J6"/>
  <tableColumns count="10">
    <tableColumn id="1" name="Date" dataDxfId="195"/>
    <tableColumn id="2" name="Vr.No" dataDxfId="194"/>
    <tableColumn id="3" name="A/C Tipe" dataDxfId="193"/>
    <tableColumn id="4" name="Supplier Name" dataDxfId="192"/>
    <tableColumn id="5" name="Item Name" dataDxfId="191"/>
    <tableColumn id="6" name="Opening" dataDxfId="190" dataCellStyle="Comma"/>
    <tableColumn id="7" name="Purchase" dataDxfId="189" dataCellStyle="Comma"/>
    <tableColumn id="8" name="Payment" dataDxfId="188" dataCellStyle="Comma"/>
    <tableColumn id="9" name="Balance" dataDxfId="187" dataCellStyle="Comma">
      <calculatedColumnFormula>KYINNLOON[[#This Row],[Opening]]+KYINNLOON[[#This Row],[Purchase]]-KYINNLOON[[#This Row],[Payment]]</calculatedColumnFormula>
    </tableColumn>
    <tableColumn id="10" name="Total Balance" dataDxfId="186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1" name="MOB" displayName="MOB" ref="A1:J5" totalsRowShown="0" headerRowDxfId="185" dataDxfId="184">
  <autoFilter ref="A1:J5"/>
  <tableColumns count="10">
    <tableColumn id="1" name="Date" dataDxfId="183"/>
    <tableColumn id="2" name="Vr.No" dataDxfId="182"/>
    <tableColumn id="3" name="A/C Tipe" dataDxfId="181"/>
    <tableColumn id="4" name="Supplier Name" dataDxfId="180"/>
    <tableColumn id="5" name="Item Name" dataDxfId="179"/>
    <tableColumn id="6" name="Opening" dataDxfId="178" dataCellStyle="Comma"/>
    <tableColumn id="7" name="Purchase" dataDxfId="177" dataCellStyle="Comma"/>
    <tableColumn id="8" name="Payment" dataDxfId="176" dataCellStyle="Comma"/>
    <tableColumn id="9" name="Balance" dataDxfId="175" dataCellStyle="Comma">
      <calculatedColumnFormula>MOB[[#This Row],[Opening]]+MOB[[#This Row],[Purchase]]-MOB[[#This Row],[Payment]]</calculatedColumnFormula>
    </tableColumn>
    <tableColumn id="10" name="Total Balance" dataDxfId="174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2" name="MAYWD" displayName="MAYWD" ref="A1:J10" totalsRowShown="0" headerRowDxfId="173" dataDxfId="172">
  <autoFilter ref="A1:J10"/>
  <tableColumns count="10">
    <tableColumn id="1" name="Date" dataDxfId="171"/>
    <tableColumn id="2" name="Vr.No" dataDxfId="170"/>
    <tableColumn id="3" name="A/C Tipe" dataDxfId="169"/>
    <tableColumn id="4" name="Supplier Name" dataDxfId="168"/>
    <tableColumn id="5" name="Item Name" dataDxfId="167"/>
    <tableColumn id="6" name="Opening" dataDxfId="166" dataCellStyle="Comma"/>
    <tableColumn id="7" name="Purchase" dataDxfId="165" dataCellStyle="Comma"/>
    <tableColumn id="8" name="Payment" dataDxfId="164" dataCellStyle="Comma"/>
    <tableColumn id="9" name="Balance" dataDxfId="163" dataCellStyle="Comma">
      <calculatedColumnFormula>MAYWD[[#This Row],[Opening]]+MAYWD[[#This Row],[Purchase]]-MAYWD[[#This Row],[Payment]]</calculatedColumnFormula>
    </tableColumn>
    <tableColumn id="10" name="Total Balance" dataDxfId="162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13" name="MDYSP" displayName="MDYSP" ref="A1:J2" totalsRowShown="0" headerRowDxfId="161" dataDxfId="160">
  <autoFilter ref="A1:J2"/>
  <tableColumns count="10">
    <tableColumn id="1" name="Date" dataDxfId="159"/>
    <tableColumn id="2" name="Vr.No" dataDxfId="158"/>
    <tableColumn id="3" name="A/C Tipe" dataDxfId="157"/>
    <tableColumn id="4" name="Supplier Name" dataDxfId="156"/>
    <tableColumn id="5" name="Item Name" dataDxfId="155"/>
    <tableColumn id="6" name="Opening" dataDxfId="154" dataCellStyle="Comma"/>
    <tableColumn id="7" name="Purchase" dataDxfId="153" dataCellStyle="Comma"/>
    <tableColumn id="8" name="Payment" dataDxfId="152" dataCellStyle="Comma"/>
    <tableColumn id="9" name="Balance" dataDxfId="151" dataCellStyle="Comma">
      <calculatedColumnFormula>MDYSP[[#This Row],[Opening]]+MDYSP[[#This Row],[Purchase]]-MDYSP[[#This Row],[Payment]]</calculatedColumnFormula>
    </tableColumn>
    <tableColumn id="10" name="Total Balance" dataDxfId="150">
      <calculatedColumnFormula>MDYSP[Balance]</calculatedColumnFormula>
    </tableColumn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" name="MTAY" displayName="MTAY" ref="A1:J9" totalsRowShown="0" headerRowDxfId="149" dataDxfId="148">
  <autoFilter ref="A1:J9"/>
  <tableColumns count="10">
    <tableColumn id="1" name="Date" dataDxfId="147"/>
    <tableColumn id="2" name="Vr.No" dataDxfId="146"/>
    <tableColumn id="3" name="A/C Tipe" dataDxfId="145"/>
    <tableColumn id="4" name="Supplier Name" dataDxfId="144"/>
    <tableColumn id="5" name="Item Name" dataDxfId="143"/>
    <tableColumn id="6" name="Opening" dataDxfId="142" dataCellStyle="Comma"/>
    <tableColumn id="7" name="Purchase" dataDxfId="141" dataCellStyle="Comma"/>
    <tableColumn id="8" name="Payment" dataDxfId="140" dataCellStyle="Comma"/>
    <tableColumn id="9" name="Balance" dataDxfId="139" dataCellStyle="Comma">
      <calculatedColumnFormula>MTAY[[#This Row],[Opening]]+MTAY[[#This Row],[Purchase]]-MTAY[[#This Row],[Payment]]</calculatedColumnFormula>
    </tableColumn>
    <tableColumn id="10" name="Total Balance" dataDxfId="138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id="15" name="NASA" displayName="NASA" ref="A1:J2" totalsRowShown="0" headerRowDxfId="137" dataDxfId="136">
  <autoFilter ref="A1:J2"/>
  <tableColumns count="10">
    <tableColumn id="1" name="Date" dataDxfId="135"/>
    <tableColumn id="2" name="Vr.No" dataDxfId="134"/>
    <tableColumn id="3" name="A/C Tipe" dataDxfId="133"/>
    <tableColumn id="4" name="Supplier Name" dataDxfId="132"/>
    <tableColumn id="5" name="Item Name" dataDxfId="131"/>
    <tableColumn id="6" name="Opening" dataDxfId="130" dataCellStyle="Comma"/>
    <tableColumn id="7" name="Purchase" dataDxfId="129" dataCellStyle="Comma"/>
    <tableColumn id="8" name="Payment" dataDxfId="128" dataCellStyle="Comma"/>
    <tableColumn id="9" name="Balance" dataDxfId="127" dataCellStyle="Comma">
      <calculatedColumnFormula>NASA[[#This Row],[Opening]]+NASA[[#This Row],[Purchase]]-NASA[[#This Row],[Payment]]</calculatedColumnFormula>
    </tableColumn>
    <tableColumn id="10" name="Total Balance" dataDxfId="126">
      <calculatedColumnFormula>NASA[Balance]</calculatedColumnFormula>
    </tableColumn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id="16" name="STL" displayName="STL" ref="A1:J11" totalsRowShown="0" headerRowDxfId="125" dataDxfId="124">
  <autoFilter ref="A1:J11"/>
  <sortState ref="A2:I10">
    <sortCondition ref="A1:A10"/>
  </sortState>
  <tableColumns count="10">
    <tableColumn id="1" name="Date" dataDxfId="123"/>
    <tableColumn id="2" name="Vr.No" dataDxfId="122"/>
    <tableColumn id="3" name="A/C Tipe" dataDxfId="121"/>
    <tableColumn id="4" name="Supplier Name" dataDxfId="120"/>
    <tableColumn id="5" name="Item Name" dataDxfId="119"/>
    <tableColumn id="6" name="Opening" dataDxfId="118" dataCellStyle="Comma"/>
    <tableColumn id="7" name="Purchase" dataDxfId="117" dataCellStyle="Comma"/>
    <tableColumn id="8" name="Payment" dataDxfId="116" dataCellStyle="Comma"/>
    <tableColumn id="9" name="Balance" dataDxfId="115" dataCellStyle="Comma">
      <calculatedColumnFormula>STL[[#This Row],[Opening]]+STL[[#This Row],[Purchase]]-STL[[#This Row],[Payment]]</calculatedColumnFormula>
    </tableColumn>
    <tableColumn id="10" name="Total Balance" dataDxfId="114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17" name="SYS" displayName="SYS" ref="A1:J3" totalsRowShown="0" headerRowDxfId="113" dataDxfId="112">
  <autoFilter ref="A1:J3"/>
  <tableColumns count="10">
    <tableColumn id="1" name="Date" dataDxfId="111"/>
    <tableColumn id="2" name="Vr.No" dataDxfId="110"/>
    <tableColumn id="3" name="A/C Tipe" dataDxfId="109"/>
    <tableColumn id="4" name="Supplier Name" dataDxfId="108"/>
    <tableColumn id="5" name="Item Name" dataDxfId="107"/>
    <tableColumn id="6" name="Opening" dataDxfId="106" dataCellStyle="Comma"/>
    <tableColumn id="7" name="Purchase" dataDxfId="105" dataCellStyle="Comma"/>
    <tableColumn id="8" name="Payment" dataDxfId="104" dataCellStyle="Comma"/>
    <tableColumn id="9" name="Balance" dataDxfId="103" dataCellStyle="Comma">
      <calculatedColumnFormula>SYS[[#This Row],[Opening]]+SYS[[#This Row],[Purchase]]-SYS[[#This Row],[Payment]]</calculatedColumnFormula>
    </tableColumn>
    <tableColumn id="10" name="Total Balance" dataDxfId="102">
      <calculatedColumnFormula>J1+SYS[[#This Row],[Purchase]]-SYS[[#This Row],[Payment]]</calculatedColumnFormula>
    </tableColumn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8" name="SUPER" displayName="SUPER" ref="A1:J8" totalsRowShown="0" headerRowDxfId="101" dataDxfId="100">
  <autoFilter ref="A1:J8"/>
  <tableColumns count="10">
    <tableColumn id="1" name="Date" dataDxfId="99"/>
    <tableColumn id="2" name="Vr.No" dataDxfId="98"/>
    <tableColumn id="3" name="A/C Tipe" dataDxfId="97"/>
    <tableColumn id="4" name="Supplier Name" dataDxfId="96"/>
    <tableColumn id="5" name="Item Name" dataDxfId="95"/>
    <tableColumn id="6" name="Opening" dataDxfId="94" dataCellStyle="Comma"/>
    <tableColumn id="7" name="Purchase" dataDxfId="93" dataCellStyle="Comma"/>
    <tableColumn id="8" name="Payment" dataDxfId="92" dataCellStyle="Comma"/>
    <tableColumn id="9" name="Balance" dataDxfId="91" dataCellStyle="Comma">
      <calculatedColumnFormula>SUPER[[#This Row],[Opening]]+SUPER[[#This Row],[Purchase]]-SUPER[[#This Row],[Payment]]</calculatedColumnFormula>
    </tableColumn>
    <tableColumn id="10" name="Total Balance" dataDxfId="90"/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19" name="TSLW" displayName="TSLW" ref="A1:J2" totalsRowShown="0" headerRowDxfId="89" dataDxfId="88">
  <autoFilter ref="A1:J2"/>
  <tableColumns count="10">
    <tableColumn id="1" name="Date" dataDxfId="87"/>
    <tableColumn id="2" name="Vr.No" dataDxfId="86"/>
    <tableColumn id="3" name="A/C Tipe" dataDxfId="85"/>
    <tableColumn id="4" name="Supplier Name" dataDxfId="84"/>
    <tableColumn id="5" name="Item Name" dataDxfId="83"/>
    <tableColumn id="6" name="Opening" dataDxfId="82" dataCellStyle="Comma"/>
    <tableColumn id="7" name="Purchase" dataDxfId="81" dataCellStyle="Comma"/>
    <tableColumn id="8" name="Payment" dataDxfId="80" dataCellStyle="Comma"/>
    <tableColumn id="9" name="Balance" dataDxfId="79" dataCellStyle="Comma">
      <calculatedColumnFormula>TSLW[[#This Row],[Opening]]+TSLW[[#This Row],[Purchase]]-TSLW[[#This Row],[Payment]]</calculatedColumnFormula>
    </tableColumn>
    <tableColumn id="10" name="Total Balance" dataDxfId="78">
      <calculatedColumnFormula>TSLW[Balance]</calculatedColumnFormula>
    </tableColumn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id="20" name="UMG" displayName="UMG" ref="A1:J2" totalsRowShown="0" headerRowDxfId="77" dataDxfId="76">
  <autoFilter ref="A1:J2"/>
  <tableColumns count="10">
    <tableColumn id="1" name="Date" dataDxfId="75"/>
    <tableColumn id="2" name="Vr.No" dataDxfId="74"/>
    <tableColumn id="3" name="A/C Tipe" dataDxfId="73"/>
    <tableColumn id="4" name="Supplier Name" dataDxfId="72"/>
    <tableColumn id="5" name="Item Name" dataDxfId="71"/>
    <tableColumn id="6" name="Opening" dataDxfId="70" dataCellStyle="Comma"/>
    <tableColumn id="7" name="Purchase" dataDxfId="69" dataCellStyle="Comma"/>
    <tableColumn id="8" name="Payment" dataDxfId="68" dataCellStyle="Comma"/>
    <tableColumn id="9" name="Balance" dataDxfId="67" dataCellStyle="Comma">
      <calculatedColumnFormula>UMG[[#This Row],[Opening]]+UMG[[#This Row],[Purchase]]-UMG[[#This Row],[Payment]]</calculatedColumnFormula>
    </tableColumn>
    <tableColumn id="10" name="Total Balance" dataDxfId="66">
      <calculatedColumnFormula>UMG[Balance]</calculatedColumnFormula>
    </tableColumn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id="21" name="ZAN" displayName="ZAN" ref="A1:J16" totalsRowShown="0" headerRowDxfId="65" dataDxfId="64">
  <autoFilter ref="A1:J16"/>
  <tableColumns count="10">
    <tableColumn id="1" name="Date" dataDxfId="63"/>
    <tableColumn id="2" name="Vr.No" dataDxfId="62"/>
    <tableColumn id="3" name="A/C Tipe" dataDxfId="61"/>
    <tableColumn id="4" name="Supplier Name" dataDxfId="60"/>
    <tableColumn id="5" name="Item Name" dataDxfId="59"/>
    <tableColumn id="6" name="Opening" dataDxfId="58" dataCellStyle="Comma"/>
    <tableColumn id="7" name="Purchase" dataDxfId="57" dataCellStyle="Comma"/>
    <tableColumn id="8" name="Payment" dataDxfId="56" dataCellStyle="Comma"/>
    <tableColumn id="9" name="Balance" dataDxfId="55" dataCellStyle="Comma">
      <calculatedColumnFormula>ZAN[[#This Row],[Opening]]+ZAN[[#This Row],[Purchase]]-ZAN[[#This Row],[Payment]]</calculatedColumnFormula>
    </tableColumn>
    <tableColumn id="10" name="Total Balance" dataDxfId="54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id="24" name="ZAN_25" displayName="ZAN_25" ref="A1:F21" totalsRowShown="0" headerRowDxfId="53" dataDxfId="52" tableBorderDxfId="51">
  <tableColumns count="6">
    <tableColumn id="10" name="No" dataDxfId="50"/>
    <tableColumn id="4" name="Supplier Name" dataDxfId="49"/>
    <tableColumn id="6" name="Opening" dataDxfId="48" dataCellStyle="Comma">
      <calculatedColumnFormula>SUMIF('Data Combine'!$D:$D,$B2,'Data Combine'!F:F)</calculatedColumnFormula>
    </tableColumn>
    <tableColumn id="7" name="Purchase" dataDxfId="47" dataCellStyle="Comma">
      <calculatedColumnFormula>SUMIF('Data Combine'!$D:$D,$B2,'Data Combine'!G:G)</calculatedColumnFormula>
    </tableColumn>
    <tableColumn id="8" name="Payment" dataDxfId="46" dataCellStyle="Comma">
      <calculatedColumnFormula>SUMIF('Data Combine'!$D:$D,$B2,'Data Combine'!H:H)</calculatedColumnFormula>
    </tableColumn>
    <tableColumn id="9" name="Balance" dataDxfId="45" dataCellStyle="Comma">
      <calculatedColumnFormula>SUMIF('Data Combine'!$D:$D,$B2,'Data Combine'!I:I)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id="7" name="Data_Combine" displayName="Data_Combine" ref="A1:J219" tableType="queryTable" totalsRowShown="0" headerRowDxfId="11" dataDxfId="10">
  <autoFilter ref="A1:J219"/>
  <tableColumns count="10">
    <tableColumn id="21" uniqueName="21" name="Content.Date" queryTableFieldId="1" dataDxfId="9"/>
    <tableColumn id="22" uniqueName="22" name="Content.Vr.No" queryTableFieldId="2" dataDxfId="8"/>
    <tableColumn id="23" uniqueName="23" name="Content.A/C Tipe" queryTableFieldId="3" dataDxfId="7"/>
    <tableColumn id="24" uniqueName="24" name="Content.Supplier Name" queryTableFieldId="4" dataDxfId="6"/>
    <tableColumn id="25" uniqueName="25" name="Content.Item Name" queryTableFieldId="5" dataDxfId="5"/>
    <tableColumn id="26" uniqueName="26" name="Content.Opening" queryTableFieldId="6" dataDxfId="4"/>
    <tableColumn id="27" uniqueName="27" name="Content.Purchase" queryTableFieldId="7" dataDxfId="3"/>
    <tableColumn id="28" uniqueName="28" name="Content.Payment" queryTableFieldId="8" dataDxfId="2"/>
    <tableColumn id="29" uniqueName="29" name="Content.Balance" queryTableFieldId="9" dataDxfId="1"/>
    <tableColumn id="30" uniqueName="30" name="Content.Total Balance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8"/>
  <sheetViews>
    <sheetView topLeftCell="A22" workbookViewId="0">
      <selection activeCell="B29" sqref="B29"/>
    </sheetView>
  </sheetViews>
  <sheetFormatPr defaultColWidth="9.28515625" defaultRowHeight="21.75" x14ac:dyDescent="0.55000000000000004"/>
  <cols>
    <col min="1" max="1" width="9.28515625" style="1"/>
    <col min="2" max="2" width="15.5703125" style="7" bestFit="1" customWidth="1"/>
    <col min="3" max="3" width="26.28515625" style="1" customWidth="1"/>
    <col min="4" max="5" width="9.28515625" style="1"/>
    <col min="6" max="6" width="23.5703125" style="1" bestFit="1" customWidth="1"/>
    <col min="7" max="16384" width="9.28515625" style="1"/>
  </cols>
  <sheetData>
    <row r="2" spans="2:8" x14ac:dyDescent="0.55000000000000004">
      <c r="B2" s="2" t="s">
        <v>2</v>
      </c>
      <c r="C2" s="2" t="s">
        <v>3</v>
      </c>
      <c r="F2" s="2" t="s">
        <v>10</v>
      </c>
      <c r="H2" s="10" t="s">
        <v>70</v>
      </c>
    </row>
    <row r="3" spans="2:8" x14ac:dyDescent="0.55000000000000004">
      <c r="B3" s="3" t="s">
        <v>11</v>
      </c>
      <c r="C3" s="4" t="s">
        <v>12</v>
      </c>
      <c r="F3" s="5" t="s">
        <v>13</v>
      </c>
      <c r="H3" s="6" t="s">
        <v>5</v>
      </c>
    </row>
    <row r="4" spans="2:8" x14ac:dyDescent="0.55000000000000004">
      <c r="B4" s="3" t="s">
        <v>14</v>
      </c>
      <c r="C4" s="4" t="s">
        <v>15</v>
      </c>
      <c r="F4" s="5" t="s">
        <v>16</v>
      </c>
      <c r="H4" s="6" t="s">
        <v>6</v>
      </c>
    </row>
    <row r="5" spans="2:8" x14ac:dyDescent="0.55000000000000004">
      <c r="B5" s="3" t="s">
        <v>17</v>
      </c>
      <c r="C5" s="4" t="s">
        <v>18</v>
      </c>
      <c r="F5" s="5" t="s">
        <v>19</v>
      </c>
      <c r="H5" s="6" t="s">
        <v>7</v>
      </c>
    </row>
    <row r="6" spans="2:8" x14ac:dyDescent="0.55000000000000004">
      <c r="B6" s="3" t="s">
        <v>20</v>
      </c>
      <c r="C6" s="4" t="s">
        <v>21</v>
      </c>
      <c r="F6" s="5" t="s">
        <v>22</v>
      </c>
    </row>
    <row r="7" spans="2:8" x14ac:dyDescent="0.55000000000000004">
      <c r="B7" s="3" t="s">
        <v>23</v>
      </c>
      <c r="C7" s="4" t="s">
        <v>68</v>
      </c>
      <c r="F7" s="5" t="s">
        <v>24</v>
      </c>
    </row>
    <row r="8" spans="2:8" x14ac:dyDescent="0.55000000000000004">
      <c r="B8" s="3" t="s">
        <v>25</v>
      </c>
      <c r="C8" s="4" t="s">
        <v>26</v>
      </c>
      <c r="F8" s="5" t="s">
        <v>27</v>
      </c>
    </row>
    <row r="9" spans="2:8" x14ac:dyDescent="0.55000000000000004">
      <c r="B9" s="3" t="s">
        <v>28</v>
      </c>
      <c r="C9" s="4" t="s">
        <v>29</v>
      </c>
      <c r="F9" s="5" t="s">
        <v>30</v>
      </c>
    </row>
    <row r="10" spans="2:8" x14ac:dyDescent="0.55000000000000004">
      <c r="B10" s="3" t="s">
        <v>31</v>
      </c>
      <c r="C10" s="4" t="s">
        <v>32</v>
      </c>
      <c r="F10" s="5" t="s">
        <v>33</v>
      </c>
    </row>
    <row r="11" spans="2:8" x14ac:dyDescent="0.55000000000000004">
      <c r="B11" s="3" t="s">
        <v>34</v>
      </c>
      <c r="C11" s="4" t="s">
        <v>35</v>
      </c>
      <c r="F11" s="5" t="s">
        <v>36</v>
      </c>
    </row>
    <row r="12" spans="2:8" x14ac:dyDescent="0.55000000000000004">
      <c r="B12" s="3" t="s">
        <v>37</v>
      </c>
      <c r="C12" s="4" t="s">
        <v>38</v>
      </c>
    </row>
    <row r="13" spans="2:8" x14ac:dyDescent="0.55000000000000004">
      <c r="B13" s="3" t="s">
        <v>39</v>
      </c>
      <c r="C13" s="4" t="s">
        <v>40</v>
      </c>
    </row>
    <row r="14" spans="2:8" x14ac:dyDescent="0.55000000000000004">
      <c r="B14" s="3" t="s">
        <v>41</v>
      </c>
      <c r="C14" s="4" t="s">
        <v>42</v>
      </c>
    </row>
    <row r="15" spans="2:8" x14ac:dyDescent="0.55000000000000004">
      <c r="B15" s="3" t="s">
        <v>43</v>
      </c>
      <c r="C15" s="4" t="s">
        <v>44</v>
      </c>
    </row>
    <row r="16" spans="2:8" x14ac:dyDescent="0.55000000000000004">
      <c r="B16" s="3" t="s">
        <v>45</v>
      </c>
      <c r="C16" s="4" t="s">
        <v>46</v>
      </c>
    </row>
    <row r="17" spans="2:3" x14ac:dyDescent="0.55000000000000004">
      <c r="B17" s="3" t="s">
        <v>47</v>
      </c>
      <c r="C17" s="4" t="s">
        <v>48</v>
      </c>
    </row>
    <row r="18" spans="2:3" x14ac:dyDescent="0.55000000000000004">
      <c r="B18" s="3" t="s">
        <v>49</v>
      </c>
      <c r="C18" s="4" t="s">
        <v>50</v>
      </c>
    </row>
    <row r="19" spans="2:3" x14ac:dyDescent="0.55000000000000004">
      <c r="B19" s="3" t="s">
        <v>51</v>
      </c>
      <c r="C19" s="4" t="s">
        <v>52</v>
      </c>
    </row>
    <row r="20" spans="2:3" x14ac:dyDescent="0.55000000000000004">
      <c r="B20" s="3" t="s">
        <v>53</v>
      </c>
      <c r="C20" s="4" t="s">
        <v>54</v>
      </c>
    </row>
    <row r="21" spans="2:3" x14ac:dyDescent="0.55000000000000004">
      <c r="B21" s="3" t="s">
        <v>55</v>
      </c>
      <c r="C21" s="4" t="s">
        <v>56</v>
      </c>
    </row>
    <row r="22" spans="2:3" x14ac:dyDescent="0.55000000000000004">
      <c r="B22" s="3" t="s">
        <v>57</v>
      </c>
      <c r="C22" s="6" t="s">
        <v>58</v>
      </c>
    </row>
    <row r="23" spans="2:3" x14ac:dyDescent="0.55000000000000004">
      <c r="B23" s="3" t="s">
        <v>59</v>
      </c>
      <c r="C23" s="6" t="s">
        <v>60</v>
      </c>
    </row>
    <row r="24" spans="2:3" x14ac:dyDescent="0.55000000000000004">
      <c r="B24" s="3" t="s">
        <v>61</v>
      </c>
      <c r="C24" s="6" t="s">
        <v>9</v>
      </c>
    </row>
    <row r="25" spans="2:3" x14ac:dyDescent="0.55000000000000004">
      <c r="B25" s="3" t="s">
        <v>62</v>
      </c>
      <c r="C25" s="6" t="s">
        <v>63</v>
      </c>
    </row>
    <row r="26" spans="2:3" x14ac:dyDescent="0.55000000000000004">
      <c r="B26" s="3" t="s">
        <v>64</v>
      </c>
      <c r="C26" s="6" t="s">
        <v>65</v>
      </c>
    </row>
    <row r="27" spans="2:3" x14ac:dyDescent="0.55000000000000004">
      <c r="B27" s="3" t="s">
        <v>66</v>
      </c>
      <c r="C27" s="6" t="s">
        <v>67</v>
      </c>
    </row>
    <row r="28" spans="2:3" x14ac:dyDescent="0.55000000000000004">
      <c r="B28" s="3" t="s">
        <v>72</v>
      </c>
      <c r="C28" s="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16.85546875" style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2" style="9" bestFit="1" customWidth="1"/>
    <col min="10" max="10" width="21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5"/>
      <c r="C2" s="16" t="s">
        <v>5</v>
      </c>
      <c r="D2" s="1" t="s">
        <v>9</v>
      </c>
      <c r="E2" s="7" t="s">
        <v>5</v>
      </c>
      <c r="F2" s="19">
        <v>630620</v>
      </c>
      <c r="G2" s="19"/>
      <c r="H2" s="17"/>
      <c r="I2" s="17">
        <f>Armax[[#This Row],[Opening]]+Armax[[#This Row],[Purchase]]-Armax[[#This Row],[Payment]]</f>
        <v>630620</v>
      </c>
      <c r="J2" s="61">
        <f>Armax[Balance]</f>
        <v>630620</v>
      </c>
    </row>
    <row r="3" spans="1:11" x14ac:dyDescent="0.55000000000000004">
      <c r="A3" s="18"/>
      <c r="B3" s="15"/>
      <c r="C3" s="16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1.140625" style="1" bestFit="1" customWidth="1"/>
    <col min="5" max="5" width="16.42578125" style="7" bestFit="1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2" style="9" bestFit="1" customWidth="1"/>
    <col min="10" max="10" width="17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15</v>
      </c>
      <c r="E2" s="7" t="s">
        <v>5</v>
      </c>
      <c r="F2" s="19"/>
      <c r="G2" s="19"/>
      <c r="H2" s="17"/>
      <c r="I2" s="17">
        <f>AAM[[#This Row],[Opening]]+AAM[[#This Row],[Purchase]]-AAM[[#This Row],[Payment]]</f>
        <v>0</v>
      </c>
      <c r="J2" s="61">
        <f>AAM[Balance]</f>
        <v>0</v>
      </c>
    </row>
    <row r="3" spans="1:11" x14ac:dyDescent="0.55000000000000004">
      <c r="A3" s="18"/>
      <c r="B3" s="16"/>
      <c r="C3" s="16"/>
      <c r="F3" s="19"/>
      <c r="G3" s="19"/>
      <c r="H3" s="17"/>
      <c r="I3" s="17"/>
    </row>
    <row r="4" spans="1:11" x14ac:dyDescent="0.55000000000000004">
      <c r="A4" s="18"/>
      <c r="B4" s="16"/>
      <c r="C4" s="16"/>
      <c r="F4" s="19"/>
      <c r="G4" s="19"/>
      <c r="H4" s="17"/>
      <c r="I4" s="17"/>
    </row>
    <row r="5" spans="1:11" x14ac:dyDescent="0.55000000000000004">
      <c r="A5" s="18"/>
      <c r="B5" s="16"/>
      <c r="C5" s="16"/>
      <c r="F5" s="19"/>
      <c r="G5" s="19"/>
      <c r="H5" s="17"/>
      <c r="I5" s="17"/>
    </row>
    <row r="6" spans="1:11" x14ac:dyDescent="0.55000000000000004">
      <c r="A6" s="18"/>
      <c r="B6" s="16"/>
      <c r="C6" s="16"/>
      <c r="E6" s="14"/>
      <c r="F6" s="19"/>
      <c r="G6" s="19"/>
      <c r="H6" s="17"/>
      <c r="I6" s="17"/>
    </row>
    <row r="7" spans="1:11" x14ac:dyDescent="0.55000000000000004">
      <c r="A7" s="18"/>
      <c r="B7" s="16"/>
      <c r="C7" s="16"/>
      <c r="E7" s="14"/>
      <c r="F7" s="19"/>
      <c r="G7" s="19"/>
      <c r="H7" s="17"/>
      <c r="I7" s="1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7109375" style="1" customWidth="1"/>
    <col min="4" max="4" width="16.28515625" style="1" customWidth="1"/>
    <col min="5" max="5" width="41" style="7" customWidth="1"/>
    <col min="6" max="6" width="17.5703125" style="8" bestFit="1" customWidth="1"/>
    <col min="7" max="7" width="18.42578125" style="8" customWidth="1"/>
    <col min="8" max="8" width="16.140625" style="9" customWidth="1"/>
    <col min="9" max="9" width="17.5703125" style="9" customWidth="1"/>
    <col min="10" max="10" width="18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18</v>
      </c>
      <c r="E2" s="7" t="s">
        <v>5</v>
      </c>
      <c r="F2" s="19">
        <v>689657</v>
      </c>
      <c r="G2" s="19"/>
      <c r="H2" s="17"/>
      <c r="I2" s="17">
        <f>AMT[[#This Row],[Opening]]+AMT[[#This Row],[Purchase]]-AMT[[#This Row],[Payment]]</f>
        <v>689657</v>
      </c>
      <c r="J2" s="61">
        <f>AMT[[#This Row],[Balance]]</f>
        <v>689657</v>
      </c>
    </row>
    <row r="3" spans="1:11" x14ac:dyDescent="0.55000000000000004">
      <c r="A3" s="18">
        <v>44292</v>
      </c>
      <c r="B3" s="16">
        <v>20889</v>
      </c>
      <c r="C3" s="16" t="s">
        <v>6</v>
      </c>
      <c r="D3" s="1" t="s">
        <v>18</v>
      </c>
      <c r="E3" s="46" t="s">
        <v>115</v>
      </c>
      <c r="F3" s="19"/>
      <c r="G3" s="19">
        <v>33000</v>
      </c>
      <c r="H3" s="17"/>
      <c r="I3" s="17">
        <f>AMT[[#This Row],[Opening]]+AMT[[#This Row],[Purchase]]-AMT[[#This Row],[Payment]]</f>
        <v>33000</v>
      </c>
      <c r="J3" s="61">
        <f>J2+AMT[[#This Row],[Purchase]]-AMT[[#This Row],[Payment]]</f>
        <v>722657</v>
      </c>
    </row>
    <row r="4" spans="1:11" x14ac:dyDescent="0.55000000000000004">
      <c r="A4" s="18">
        <v>44292</v>
      </c>
      <c r="B4" s="16">
        <v>48133</v>
      </c>
      <c r="C4" s="16" t="s">
        <v>6</v>
      </c>
      <c r="D4" s="1" t="s">
        <v>18</v>
      </c>
      <c r="E4" s="44" t="s">
        <v>116</v>
      </c>
      <c r="F4" s="19"/>
      <c r="G4" s="19">
        <v>284448</v>
      </c>
      <c r="H4" s="17"/>
      <c r="I4" s="17">
        <f>AMT[[#This Row],[Opening]]+AMT[[#This Row],[Purchase]]-AMT[[#This Row],[Payment]]</f>
        <v>284448</v>
      </c>
      <c r="J4" s="61">
        <f>J3+AMT[[#This Row],[Purchase]]-AMT[[#This Row],[Payment]]</f>
        <v>1007105</v>
      </c>
      <c r="K4" s="9" t="s">
        <v>71</v>
      </c>
    </row>
    <row r="5" spans="1:11" x14ac:dyDescent="0.55000000000000004">
      <c r="A5" s="18">
        <v>44295</v>
      </c>
      <c r="B5" s="16">
        <v>48216</v>
      </c>
      <c r="C5" s="16" t="s">
        <v>6</v>
      </c>
      <c r="D5" s="1" t="s">
        <v>18</v>
      </c>
      <c r="E5" s="44" t="s">
        <v>128</v>
      </c>
      <c r="F5" s="19"/>
      <c r="G5" s="19">
        <v>151784</v>
      </c>
      <c r="H5" s="17"/>
      <c r="I5" s="17">
        <f>AMT[[#This Row],[Opening]]+AMT[[#This Row],[Purchase]]-AMT[[#This Row],[Payment]]</f>
        <v>151784</v>
      </c>
      <c r="J5" s="61">
        <f>J4+AMT[[#This Row],[Purchase]]-AMT[[#This Row],[Payment]]</f>
        <v>1158889</v>
      </c>
    </row>
    <row r="6" spans="1:11" x14ac:dyDescent="0.55000000000000004">
      <c r="A6" s="54">
        <v>44296</v>
      </c>
      <c r="B6" s="55">
        <v>48229</v>
      </c>
      <c r="C6" s="55" t="s">
        <v>6</v>
      </c>
      <c r="D6" s="1" t="s">
        <v>18</v>
      </c>
      <c r="E6" s="56" t="s">
        <v>128</v>
      </c>
      <c r="F6" s="53"/>
      <c r="G6" s="53">
        <v>89960</v>
      </c>
      <c r="H6" s="17"/>
      <c r="I6" s="17">
        <f>AMT[[#This Row],[Opening]]+AMT[[#This Row],[Purchase]]-AMT[[#This Row],[Payment]]</f>
        <v>89960</v>
      </c>
      <c r="J6" s="61">
        <f>J5+AMT[[#This Row],[Purchase]]-AMT[[#This Row],[Payment]]</f>
        <v>1248849</v>
      </c>
    </row>
    <row r="7" spans="1:11" x14ac:dyDescent="0.55000000000000004">
      <c r="A7" s="18">
        <v>44305</v>
      </c>
      <c r="B7" s="16"/>
      <c r="C7" s="16" t="s">
        <v>7</v>
      </c>
      <c r="D7" s="1" t="s">
        <v>18</v>
      </c>
      <c r="E7" s="44" t="s">
        <v>134</v>
      </c>
      <c r="F7" s="19"/>
      <c r="G7" s="19"/>
      <c r="H7" s="17">
        <v>1158889</v>
      </c>
      <c r="I7" s="17">
        <f>AMT[[#This Row],[Opening]]+AMT[[#This Row],[Purchase]]-AMT[[#This Row],[Payment]]</f>
        <v>-1158889</v>
      </c>
      <c r="J7" s="61">
        <f>J6+AMT[[#This Row],[Purchase]]-AMT[[#This Row],[Payment]]</f>
        <v>89960</v>
      </c>
    </row>
    <row r="8" spans="1:11" x14ac:dyDescent="0.55000000000000004">
      <c r="A8" s="18">
        <v>44305</v>
      </c>
      <c r="B8" s="16">
        <v>21107</v>
      </c>
      <c r="C8" s="16" t="s">
        <v>6</v>
      </c>
      <c r="D8" s="1" t="s">
        <v>18</v>
      </c>
      <c r="E8" s="44" t="s">
        <v>138</v>
      </c>
      <c r="F8" s="19"/>
      <c r="G8" s="19">
        <v>39350</v>
      </c>
      <c r="H8" s="17"/>
      <c r="I8" s="17">
        <f>AMT[[#This Row],[Opening]]+AMT[[#This Row],[Purchase]]-AMT[[#This Row],[Payment]]</f>
        <v>39350</v>
      </c>
      <c r="J8" s="61">
        <f>J7+AMT[[#This Row],[Purchase]]-AMT[[#This Row],[Payment]]</f>
        <v>129310</v>
      </c>
    </row>
    <row r="9" spans="1:11" x14ac:dyDescent="0.55000000000000004">
      <c r="A9" s="54">
        <v>44305</v>
      </c>
      <c r="B9" s="55">
        <v>48243</v>
      </c>
      <c r="C9" s="55" t="s">
        <v>6</v>
      </c>
      <c r="D9" s="1" t="s">
        <v>18</v>
      </c>
      <c r="E9" s="56" t="s">
        <v>139</v>
      </c>
      <c r="F9" s="53"/>
      <c r="G9" s="53">
        <v>39200</v>
      </c>
      <c r="H9" s="57"/>
      <c r="I9" s="57">
        <f>AMT[[#This Row],[Opening]]+AMT[[#This Row],[Purchase]]-AMT[[#This Row],[Payment]]</f>
        <v>39200</v>
      </c>
      <c r="J9" s="61">
        <f>J8+AMT[[#This Row],[Purchase]]-AMT[[#This Row],[Payment]]</f>
        <v>168510</v>
      </c>
    </row>
    <row r="10" spans="1:11" x14ac:dyDescent="0.55000000000000004">
      <c r="A10" s="54">
        <v>44307</v>
      </c>
      <c r="B10" s="55">
        <v>21112</v>
      </c>
      <c r="C10" s="55" t="s">
        <v>6</v>
      </c>
      <c r="D10" s="1" t="s">
        <v>18</v>
      </c>
      <c r="E10" s="56" t="s">
        <v>143</v>
      </c>
      <c r="F10" s="53"/>
      <c r="G10" s="53">
        <v>44500</v>
      </c>
      <c r="H10" s="57"/>
      <c r="I10" s="57">
        <f>AMT[[#This Row],[Opening]]+AMT[[#This Row],[Purchase]]-AMT[[#This Row],[Payment]]</f>
        <v>44500</v>
      </c>
      <c r="J10" s="61">
        <f>J9+AMT[[#This Row],[Purchase]]-AMT[[#This Row],[Payment]]</f>
        <v>213010</v>
      </c>
    </row>
    <row r="11" spans="1:11" x14ac:dyDescent="0.55000000000000004">
      <c r="A11" s="54">
        <v>44307</v>
      </c>
      <c r="B11" s="55">
        <v>48303</v>
      </c>
      <c r="C11" s="55" t="s">
        <v>6</v>
      </c>
      <c r="D11" s="1" t="s">
        <v>18</v>
      </c>
      <c r="E11" s="56" t="s">
        <v>144</v>
      </c>
      <c r="F11" s="53"/>
      <c r="G11" s="53">
        <v>317468</v>
      </c>
      <c r="H11" s="57"/>
      <c r="I11" s="57">
        <f>AMT[[#This Row],[Opening]]+AMT[[#This Row],[Purchase]]-AMT[[#This Row],[Payment]]</f>
        <v>317468</v>
      </c>
      <c r="J11" s="61">
        <f>J10+AMT[[#This Row],[Purchase]]-AMT[[#This Row],[Payment]]</f>
        <v>530478</v>
      </c>
    </row>
    <row r="12" spans="1:11" x14ac:dyDescent="0.55000000000000004">
      <c r="A12" s="54">
        <v>44307</v>
      </c>
      <c r="B12" s="55">
        <v>48293</v>
      </c>
      <c r="C12" s="55" t="s">
        <v>6</v>
      </c>
      <c r="D12" s="1" t="s">
        <v>18</v>
      </c>
      <c r="E12" s="56" t="s">
        <v>145</v>
      </c>
      <c r="F12" s="53"/>
      <c r="G12" s="53">
        <v>88595</v>
      </c>
      <c r="H12" s="57"/>
      <c r="I12" s="57">
        <f>AMT[[#This Row],[Opening]]+AMT[[#This Row],[Purchase]]-AMT[[#This Row],[Payment]]</f>
        <v>88595</v>
      </c>
      <c r="J12" s="61">
        <f>J11+AMT[[#This Row],[Purchase]]-AMT[[#This Row],[Payment]]</f>
        <v>619073</v>
      </c>
    </row>
    <row r="13" spans="1:11" x14ac:dyDescent="0.55000000000000004">
      <c r="A13" s="54">
        <v>44309</v>
      </c>
      <c r="B13" s="55">
        <v>48318</v>
      </c>
      <c r="C13" s="55" t="s">
        <v>6</v>
      </c>
      <c r="D13" s="1" t="s">
        <v>18</v>
      </c>
      <c r="E13" s="56" t="s">
        <v>152</v>
      </c>
      <c r="F13" s="53"/>
      <c r="G13" s="53">
        <v>335305</v>
      </c>
      <c r="H13" s="57"/>
      <c r="I13" s="57">
        <f>AMT[[#This Row],[Opening]]+AMT[[#This Row],[Purchase]]-AMT[[#This Row],[Payment]]</f>
        <v>335305</v>
      </c>
      <c r="J13" s="61">
        <f>J12+AMT[[#This Row],[Purchase]]-AMT[[#This Row],[Payment]]</f>
        <v>954378</v>
      </c>
    </row>
    <row r="14" spans="1:11" x14ac:dyDescent="0.55000000000000004">
      <c r="A14" s="47">
        <v>44310</v>
      </c>
      <c r="B14" s="48">
        <v>48355</v>
      </c>
      <c r="C14" s="48" t="s">
        <v>6</v>
      </c>
      <c r="D14" s="1" t="s">
        <v>18</v>
      </c>
      <c r="E14" s="44" t="s">
        <v>168</v>
      </c>
      <c r="F14" s="50"/>
      <c r="G14" s="50">
        <v>154680</v>
      </c>
      <c r="H14" s="51"/>
      <c r="I14" s="51">
        <f>AMT[[#This Row],[Opening]]+AMT[[#This Row],[Purchase]]-AMT[[#This Row],[Payment]]</f>
        <v>154680</v>
      </c>
      <c r="J14" s="61">
        <f>J13+AMT[[#This Row],[Purchase]]-AMT[[#This Row],[Payment]]</f>
        <v>1109058</v>
      </c>
    </row>
    <row r="15" spans="1:11" x14ac:dyDescent="0.55000000000000004">
      <c r="A15" s="54">
        <v>44313</v>
      </c>
      <c r="B15" s="55">
        <v>48408</v>
      </c>
      <c r="C15" s="55" t="s">
        <v>6</v>
      </c>
      <c r="D15" s="1" t="s">
        <v>18</v>
      </c>
      <c r="E15" s="44" t="s">
        <v>167</v>
      </c>
      <c r="F15" s="53"/>
      <c r="G15" s="53">
        <v>98381</v>
      </c>
      <c r="H15" s="57"/>
      <c r="I15" s="57">
        <f>AMT[[#This Row],[Opening]]+AMT[[#This Row],[Purchase]]-AMT[[#This Row],[Payment]]</f>
        <v>98381</v>
      </c>
      <c r="J15" s="61">
        <f>J14+AMT[[#This Row],[Purchase]]-AMT[[#This Row],[Payment]]</f>
        <v>1207439</v>
      </c>
    </row>
    <row r="16" spans="1:11" x14ac:dyDescent="0.55000000000000004">
      <c r="A16" s="47">
        <v>44314</v>
      </c>
      <c r="B16" s="48">
        <v>48416</v>
      </c>
      <c r="C16" s="48" t="s">
        <v>6</v>
      </c>
      <c r="D16" s="1" t="s">
        <v>18</v>
      </c>
      <c r="E16" s="44" t="s">
        <v>169</v>
      </c>
      <c r="F16" s="50"/>
      <c r="G16" s="50">
        <v>288920</v>
      </c>
      <c r="H16" s="51"/>
      <c r="I16" s="51">
        <f>AMT[[#This Row],[Opening]]+AMT[[#This Row],[Purchase]]-AMT[[#This Row],[Payment]]</f>
        <v>288920</v>
      </c>
      <c r="J16" s="61">
        <f>J15+AMT[[#This Row],[Purchase]]-AMT[[#This Row],[Payment]]</f>
        <v>1496359</v>
      </c>
    </row>
    <row r="17" spans="1:9" x14ac:dyDescent="0.55000000000000004">
      <c r="A17" s="47"/>
      <c r="B17" s="48"/>
      <c r="C17" s="48"/>
      <c r="D17" s="49"/>
      <c r="E17" s="44"/>
      <c r="F17" s="50"/>
      <c r="G17" s="50"/>
      <c r="H17" s="51"/>
      <c r="I17" s="51"/>
    </row>
    <row r="18" spans="1:9" x14ac:dyDescent="0.55000000000000004">
      <c r="A18" s="54"/>
      <c r="B18" s="55"/>
      <c r="C18" s="55"/>
      <c r="D18" s="52"/>
      <c r="E18" s="56"/>
      <c r="F18" s="53"/>
      <c r="G18" s="53"/>
      <c r="H18" s="57"/>
      <c r="I18" s="57"/>
    </row>
    <row r="19" spans="1:9" x14ac:dyDescent="0.55000000000000004">
      <c r="A19" s="18"/>
      <c r="B19" s="16"/>
      <c r="C19" s="16"/>
      <c r="E19" s="14"/>
      <c r="F19" s="19"/>
      <c r="G19" s="19"/>
      <c r="H19" s="17"/>
      <c r="I19" s="17"/>
    </row>
    <row r="20" spans="1:9" x14ac:dyDescent="0.55000000000000004">
      <c r="A20" s="18"/>
      <c r="B20" s="16"/>
      <c r="C20" s="16"/>
      <c r="E20" s="14"/>
      <c r="F20" s="19"/>
      <c r="G20" s="19"/>
      <c r="H20" s="17"/>
      <c r="I20" s="17"/>
    </row>
    <row r="21" spans="1:9" x14ac:dyDescent="0.55000000000000004">
      <c r="C21" s="11"/>
    </row>
    <row r="22" spans="1:9" x14ac:dyDescent="0.55000000000000004">
      <c r="C22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3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4" style="1" customWidth="1"/>
    <col min="3" max="3" width="12.28515625" style="1" customWidth="1"/>
    <col min="4" max="4" width="24.42578125" style="1" bestFit="1" customWidth="1"/>
    <col min="5" max="5" width="31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2" style="9" bestFit="1" customWidth="1"/>
    <col min="10" max="10" width="17.855468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45"/>
      <c r="C2" s="16" t="s">
        <v>5</v>
      </c>
      <c r="D2" s="1" t="s">
        <v>74</v>
      </c>
      <c r="E2" s="14" t="s">
        <v>5</v>
      </c>
      <c r="F2" s="19">
        <v>829260</v>
      </c>
      <c r="G2" s="19"/>
      <c r="H2" s="17"/>
      <c r="I2" s="17">
        <f>DTL[[#This Row],[Opening]]+DTL[[#This Row],[Purchase]]-DTL[[#This Row],[Payment]]</f>
        <v>829260</v>
      </c>
      <c r="J2" s="61">
        <f>DTL[[#This Row],[Balance]]</f>
        <v>829260</v>
      </c>
    </row>
    <row r="3" spans="1:11" x14ac:dyDescent="0.55000000000000004">
      <c r="A3" s="18">
        <v>44291</v>
      </c>
      <c r="B3" s="45">
        <v>40114</v>
      </c>
      <c r="C3" s="16" t="s">
        <v>7</v>
      </c>
      <c r="D3" s="1" t="s">
        <v>74</v>
      </c>
      <c r="E3" s="44" t="s">
        <v>107</v>
      </c>
      <c r="F3" s="19"/>
      <c r="G3" s="19"/>
      <c r="H3" s="17">
        <v>200000</v>
      </c>
      <c r="I3" s="17">
        <f>DTL[[#This Row],[Opening]]+DTL[[#This Row],[Purchase]]-DTL[[#This Row],[Payment]]</f>
        <v>-200000</v>
      </c>
      <c r="J3" s="61">
        <f>J2+DTL[[#This Row],[Purchase]]-DTL[[#This Row],[Payment]]</f>
        <v>629260</v>
      </c>
    </row>
    <row r="4" spans="1:11" x14ac:dyDescent="0.55000000000000004">
      <c r="A4" s="18">
        <v>44291</v>
      </c>
      <c r="B4" s="45">
        <v>45275</v>
      </c>
      <c r="C4" s="16" t="s">
        <v>6</v>
      </c>
      <c r="D4" s="1" t="s">
        <v>74</v>
      </c>
      <c r="E4" s="44" t="s">
        <v>106</v>
      </c>
      <c r="F4" s="19"/>
      <c r="G4" s="17">
        <v>332100</v>
      </c>
      <c r="H4" s="17"/>
      <c r="I4" s="17">
        <f>DTL[[#This Row],[Opening]]+DTL[[#This Row],[Purchase]]-DTL[[#This Row],[Payment]]</f>
        <v>332100</v>
      </c>
      <c r="J4" s="61">
        <f>J3+DTL[[#This Row],[Purchase]]-DTL[[#This Row],[Payment]]</f>
        <v>961360</v>
      </c>
    </row>
    <row r="5" spans="1:11" x14ac:dyDescent="0.55000000000000004">
      <c r="A5" s="18">
        <v>44312</v>
      </c>
      <c r="B5" s="45">
        <v>40122</v>
      </c>
      <c r="C5" s="16" t="s">
        <v>7</v>
      </c>
      <c r="D5" s="1" t="s">
        <v>74</v>
      </c>
      <c r="E5" s="44" t="s">
        <v>107</v>
      </c>
      <c r="F5" s="19"/>
      <c r="G5" s="19"/>
      <c r="H5" s="17">
        <v>500000</v>
      </c>
      <c r="I5" s="17">
        <f>DTL[[#This Row],[Opening]]+DTL[[#This Row],[Purchase]]-DTL[[#This Row],[Payment]]</f>
        <v>-500000</v>
      </c>
      <c r="J5" s="61">
        <f>J4+DTL[[#This Row],[Purchase]]-DTL[[#This Row],[Payment]]</f>
        <v>461360</v>
      </c>
    </row>
    <row r="6" spans="1:11" x14ac:dyDescent="0.55000000000000004">
      <c r="A6" s="54">
        <v>44312</v>
      </c>
      <c r="B6" s="45">
        <v>45289</v>
      </c>
      <c r="C6" s="55" t="s">
        <v>6</v>
      </c>
      <c r="D6" s="1" t="s">
        <v>74</v>
      </c>
      <c r="E6" s="56" t="s">
        <v>160</v>
      </c>
      <c r="F6" s="53"/>
      <c r="G6" s="53">
        <v>390600</v>
      </c>
      <c r="H6" s="57"/>
      <c r="I6" s="57">
        <f>DTL[[#This Row],[Opening]]+DTL[[#This Row],[Purchase]]-DTL[[#This Row],[Payment]]</f>
        <v>390600</v>
      </c>
      <c r="J6" s="61">
        <f>J5+DTL[[#This Row],[Purchase]]-DTL[[#This Row],[Payment]]</f>
        <v>851960</v>
      </c>
    </row>
    <row r="7" spans="1:11" x14ac:dyDescent="0.55000000000000004">
      <c r="A7" s="54"/>
      <c r="B7" s="58"/>
      <c r="C7" s="55"/>
      <c r="D7" s="52"/>
      <c r="E7" s="56"/>
      <c r="F7" s="53"/>
      <c r="G7" s="53"/>
      <c r="H7" s="57"/>
      <c r="I7" s="57"/>
    </row>
    <row r="8" spans="1:11" x14ac:dyDescent="0.55000000000000004">
      <c r="A8" s="18"/>
      <c r="B8" s="45"/>
      <c r="C8" s="16"/>
      <c r="E8" s="14"/>
      <c r="F8" s="19"/>
      <c r="G8" s="19"/>
      <c r="H8" s="17"/>
      <c r="I8" s="17"/>
    </row>
    <row r="9" spans="1:11" x14ac:dyDescent="0.55000000000000004">
      <c r="A9" s="18"/>
      <c r="B9" s="45"/>
      <c r="C9" s="16"/>
      <c r="E9" s="14"/>
      <c r="F9" s="19"/>
      <c r="G9" s="19"/>
      <c r="H9" s="17"/>
      <c r="I9" s="17"/>
    </row>
    <row r="10" spans="1:11" x14ac:dyDescent="0.55000000000000004">
      <c r="A10" s="18"/>
      <c r="B10" s="45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45"/>
      <c r="C11" s="16"/>
      <c r="E11" s="14"/>
      <c r="F11" s="19"/>
      <c r="G11" s="19"/>
      <c r="H11" s="17"/>
      <c r="I11" s="17"/>
    </row>
    <row r="12" spans="1:11" x14ac:dyDescent="0.55000000000000004">
      <c r="C12" s="11"/>
    </row>
    <row r="13" spans="1:11" x14ac:dyDescent="0.55000000000000004">
      <c r="C13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topLeftCell="B1"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0.140625" style="1" customWidth="1"/>
    <col min="3" max="3" width="13.5703125" style="1" customWidth="1"/>
    <col min="4" max="4" width="21.42578125" style="1" customWidth="1"/>
    <col min="5" max="5" width="52.42578125" style="7" customWidth="1"/>
    <col min="6" max="6" width="15.7109375" style="8" customWidth="1"/>
    <col min="7" max="7" width="13.7109375" style="8" customWidth="1"/>
    <col min="8" max="8" width="18.140625" style="9" customWidth="1"/>
    <col min="9" max="9" width="14.7109375" style="9" bestFit="1" customWidth="1"/>
    <col min="10" max="10" width="13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59"/>
      <c r="C2" s="16" t="s">
        <v>5</v>
      </c>
      <c r="D2" s="1" t="s">
        <v>75</v>
      </c>
      <c r="E2" s="7" t="s">
        <v>5</v>
      </c>
      <c r="F2" s="19">
        <v>32492000</v>
      </c>
      <c r="G2" s="19"/>
      <c r="H2" s="17"/>
      <c r="I2" s="17">
        <f>GBS_TRI[[#This Row],[Opening]]+GBS_TRI[[#This Row],[Purchase]]-GBS_TRI[[#This Row],[Payment]]</f>
        <v>32492000</v>
      </c>
      <c r="J2" s="61">
        <f>GBS_TRI[[#This Row],[Balance]]</f>
        <v>32492000</v>
      </c>
    </row>
    <row r="3" spans="1:11" x14ac:dyDescent="0.55000000000000004">
      <c r="A3" s="18">
        <v>44288</v>
      </c>
      <c r="B3" s="59"/>
      <c r="C3" s="16" t="s">
        <v>7</v>
      </c>
      <c r="D3" s="1" t="s">
        <v>75</v>
      </c>
      <c r="E3" s="43" t="s">
        <v>98</v>
      </c>
      <c r="F3" s="19"/>
      <c r="G3" s="19"/>
      <c r="H3" s="17">
        <v>2320000</v>
      </c>
      <c r="I3" s="17">
        <f>GBS_TRI[[#This Row],[Opening]]+GBS_TRI[[#This Row],[Purchase]]-GBS_TRI[[#This Row],[Payment]]</f>
        <v>-2320000</v>
      </c>
      <c r="J3" s="61">
        <f>J2+GBS_TRI[[#This Row],[Purchase]]-GBS_TRI[[#This Row],[Payment]]</f>
        <v>30172000</v>
      </c>
    </row>
    <row r="4" spans="1:11" x14ac:dyDescent="0.55000000000000004">
      <c r="A4" s="18">
        <v>44288</v>
      </c>
      <c r="B4" s="59"/>
      <c r="C4" s="16" t="s">
        <v>7</v>
      </c>
      <c r="D4" s="1" t="s">
        <v>75</v>
      </c>
      <c r="E4" s="43" t="s">
        <v>97</v>
      </c>
      <c r="F4" s="19"/>
      <c r="G4" s="19"/>
      <c r="H4" s="17">
        <v>3090000</v>
      </c>
      <c r="I4" s="17">
        <f>GBS_TRI[[#This Row],[Opening]]+GBS_TRI[[#This Row],[Purchase]]-GBS_TRI[[#This Row],[Payment]]</f>
        <v>-3090000</v>
      </c>
      <c r="J4" s="61">
        <f>J3+GBS_TRI[[#This Row],[Purchase]]-GBS_TRI[[#This Row],[Payment]]</f>
        <v>27082000</v>
      </c>
    </row>
    <row r="5" spans="1:11" x14ac:dyDescent="0.55000000000000004">
      <c r="A5" s="18">
        <v>44288</v>
      </c>
      <c r="B5" s="59"/>
      <c r="C5" s="16" t="s">
        <v>7</v>
      </c>
      <c r="D5" s="1" t="s">
        <v>75</v>
      </c>
      <c r="E5" s="43" t="s">
        <v>95</v>
      </c>
      <c r="F5" s="19"/>
      <c r="G5" s="19"/>
      <c r="H5" s="17">
        <v>1000000</v>
      </c>
      <c r="I5" s="17">
        <f>GBS_TRI[[#This Row],[Opening]]+GBS_TRI[[#This Row],[Purchase]]-GBS_TRI[[#This Row],[Payment]]</f>
        <v>-1000000</v>
      </c>
      <c r="J5" s="61">
        <f>J4+GBS_TRI[[#This Row],[Purchase]]-GBS_TRI[[#This Row],[Payment]]</f>
        <v>26082000</v>
      </c>
    </row>
    <row r="6" spans="1:11" x14ac:dyDescent="0.55000000000000004">
      <c r="A6" s="18">
        <v>44288</v>
      </c>
      <c r="B6" s="59"/>
      <c r="C6" s="16" t="s">
        <v>7</v>
      </c>
      <c r="D6" s="1" t="s">
        <v>75</v>
      </c>
      <c r="E6" s="43" t="s">
        <v>96</v>
      </c>
      <c r="F6" s="19"/>
      <c r="G6" s="19"/>
      <c r="H6" s="17">
        <v>450000</v>
      </c>
      <c r="I6" s="17">
        <f>GBS_TRI[[#This Row],[Opening]]+GBS_TRI[[#This Row],[Purchase]]-GBS_TRI[[#This Row],[Payment]]</f>
        <v>-450000</v>
      </c>
      <c r="J6" s="61">
        <f>J5+GBS_TRI[[#This Row],[Purchase]]-GBS_TRI[[#This Row],[Payment]]</f>
        <v>25632000</v>
      </c>
    </row>
    <row r="7" spans="1:11" x14ac:dyDescent="0.55000000000000004">
      <c r="A7" s="18">
        <v>44288</v>
      </c>
      <c r="B7" s="59"/>
      <c r="C7" s="16" t="s">
        <v>7</v>
      </c>
      <c r="D7" s="1" t="s">
        <v>75</v>
      </c>
      <c r="E7" s="43" t="s">
        <v>94</v>
      </c>
      <c r="F7" s="19"/>
      <c r="G7" s="19"/>
      <c r="H7" s="17">
        <v>500000</v>
      </c>
      <c r="I7" s="17">
        <f>GBS_TRI[[#This Row],[Opening]]+GBS_TRI[[#This Row],[Purchase]]-GBS_TRI[[#This Row],[Payment]]</f>
        <v>-500000</v>
      </c>
      <c r="J7" s="61">
        <f>J6+GBS_TRI[[#This Row],[Purchase]]-GBS_TRI[[#This Row],[Payment]]</f>
        <v>25132000</v>
      </c>
    </row>
    <row r="8" spans="1:11" x14ac:dyDescent="0.55000000000000004">
      <c r="A8" s="18">
        <v>44315</v>
      </c>
      <c r="B8" s="59">
        <v>731</v>
      </c>
      <c r="C8" s="16" t="s">
        <v>7</v>
      </c>
      <c r="D8" s="1" t="s">
        <v>75</v>
      </c>
      <c r="E8" s="44" t="s">
        <v>164</v>
      </c>
      <c r="F8" s="19"/>
      <c r="G8" s="19"/>
      <c r="H8" s="17">
        <v>6180000</v>
      </c>
      <c r="I8" s="17">
        <f>GBS_TRI[[#This Row],[Opening]]+GBS_TRI[[#This Row],[Purchase]]-GBS_TRI[[#This Row],[Payment]]</f>
        <v>-6180000</v>
      </c>
      <c r="J8" s="61">
        <f>J7+GBS_TRI[[#This Row],[Purchase]]-GBS_TRI[[#This Row],[Payment]]</f>
        <v>18952000</v>
      </c>
    </row>
    <row r="9" spans="1:11" x14ac:dyDescent="0.55000000000000004">
      <c r="A9" s="47"/>
      <c r="B9" s="60"/>
      <c r="C9" s="48"/>
      <c r="D9" s="49"/>
      <c r="E9" s="44"/>
      <c r="F9" s="50"/>
      <c r="G9" s="50"/>
      <c r="H9" s="51"/>
      <c r="I9" s="51"/>
    </row>
    <row r="10" spans="1:11" x14ac:dyDescent="0.55000000000000004">
      <c r="A10" s="18"/>
      <c r="B10" s="15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" customWidth="1"/>
    <col min="3" max="3" width="15.140625" style="1" customWidth="1"/>
    <col min="4" max="4" width="24.42578125" style="1" bestFit="1" customWidth="1"/>
    <col min="5" max="5" width="29.28515625" style="7" customWidth="1"/>
    <col min="6" max="6" width="17.5703125" style="8" bestFit="1" customWidth="1"/>
    <col min="7" max="7" width="18.42578125" style="8" customWidth="1"/>
    <col min="8" max="8" width="19" style="9" customWidth="1"/>
    <col min="9" max="9" width="14.7109375" style="9" bestFit="1" customWidth="1"/>
    <col min="10" max="10" width="18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59"/>
      <c r="C2" s="16" t="s">
        <v>5</v>
      </c>
      <c r="D2" s="1" t="s">
        <v>76</v>
      </c>
      <c r="E2" s="7" t="s">
        <v>5</v>
      </c>
      <c r="F2" s="19">
        <v>10325000</v>
      </c>
      <c r="G2" s="19"/>
      <c r="H2" s="17"/>
      <c r="I2" s="17">
        <f>GBS_ENG[[#This Row],[Opening]]+GBS_ENG[[#This Row],[Purchase]]-GBS_ENG[[#This Row],[Payment]]</f>
        <v>10325000</v>
      </c>
      <c r="J2" s="61">
        <f>GBS_ENG[[#This Row],[Balance]]</f>
        <v>10325000</v>
      </c>
    </row>
    <row r="3" spans="1:11" x14ac:dyDescent="0.55000000000000004">
      <c r="A3" s="18">
        <v>44315</v>
      </c>
      <c r="B3" s="59">
        <v>730</v>
      </c>
      <c r="C3" s="16" t="s">
        <v>7</v>
      </c>
      <c r="D3" s="1" t="s">
        <v>76</v>
      </c>
      <c r="E3" s="44" t="s">
        <v>110</v>
      </c>
      <c r="F3" s="19"/>
      <c r="G3" s="19"/>
      <c r="H3" s="17">
        <v>6408000</v>
      </c>
      <c r="I3" s="17">
        <f>GBS_ENG[[#This Row],[Opening]]+GBS_ENG[[#This Row],[Purchase]]-GBS_ENG[[#This Row],[Payment]]</f>
        <v>-6408000</v>
      </c>
      <c r="J3" s="61">
        <f>J2+GBS_ENG[[#This Row],[Purchase]]-GBS_ENG[[#This Row],[Payment]]</f>
        <v>3917000</v>
      </c>
    </row>
    <row r="4" spans="1:11" x14ac:dyDescent="0.55000000000000004">
      <c r="A4" s="47"/>
      <c r="B4" s="60"/>
      <c r="C4" s="48"/>
      <c r="D4" s="49"/>
      <c r="E4" s="44"/>
      <c r="F4" s="50"/>
      <c r="G4" s="50"/>
      <c r="H4" s="51"/>
      <c r="I4" s="51"/>
      <c r="J4" s="61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A10" s="18"/>
      <c r="B10" s="15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0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6.140625" style="7" customWidth="1"/>
    <col min="6" max="6" width="13.42578125" style="8" customWidth="1"/>
    <col min="7" max="7" width="15" style="8" customWidth="1"/>
    <col min="8" max="8" width="15.42578125" style="9" customWidth="1"/>
    <col min="9" max="9" width="14.7109375" style="9" bestFit="1" customWidth="1"/>
    <col min="10" max="10" width="18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29</v>
      </c>
      <c r="E2" s="7" t="s">
        <v>5</v>
      </c>
      <c r="F2" s="19">
        <v>2250335</v>
      </c>
      <c r="G2" s="19"/>
      <c r="H2" s="17"/>
      <c r="I2" s="17">
        <f>GBS_SP[[#This Row],[Opening]]+GBS_SP[[#This Row],[Purchase]]-GBS_SP[[#This Row],[Payment]]</f>
        <v>2250335</v>
      </c>
      <c r="J2" s="61">
        <f>GBS_SP[[#This Row],[Balance]]</f>
        <v>2250335</v>
      </c>
    </row>
    <row r="3" spans="1:11" x14ac:dyDescent="0.55000000000000004">
      <c r="A3" s="18">
        <v>44287</v>
      </c>
      <c r="B3" s="16"/>
      <c r="C3" s="16" t="s">
        <v>6</v>
      </c>
      <c r="D3" s="1" t="s">
        <v>29</v>
      </c>
      <c r="E3" s="44" t="s">
        <v>104</v>
      </c>
      <c r="F3" s="19"/>
      <c r="G3" s="19">
        <v>261500</v>
      </c>
      <c r="H3" s="17"/>
      <c r="I3" s="17">
        <f>GBS_SP[[#This Row],[Opening]]+GBS_SP[[#This Row],[Purchase]]-GBS_SP[[#This Row],[Payment]]</f>
        <v>261500</v>
      </c>
      <c r="J3" s="61">
        <f>J2+GBS_SP[[#This Row],[Purchase]]-GBS_SP[[#This Row],[Payment]]</f>
        <v>2511835</v>
      </c>
    </row>
    <row r="4" spans="1:11" x14ac:dyDescent="0.55000000000000004">
      <c r="A4" s="18">
        <v>44288</v>
      </c>
      <c r="B4" s="16">
        <v>3666</v>
      </c>
      <c r="C4" s="16" t="s">
        <v>6</v>
      </c>
      <c r="D4" s="1" t="s">
        <v>29</v>
      </c>
      <c r="E4" s="44" t="s">
        <v>105</v>
      </c>
      <c r="F4" s="19"/>
      <c r="G4" s="19">
        <v>387500</v>
      </c>
      <c r="H4" s="17"/>
      <c r="I4" s="17">
        <f>GBS_SP[[#This Row],[Opening]]+GBS_SP[[#This Row],[Purchase]]-GBS_SP[[#This Row],[Payment]]</f>
        <v>387500</v>
      </c>
      <c r="J4" s="61">
        <f>J3+GBS_SP[[#This Row],[Purchase]]-GBS_SP[[#This Row],[Payment]]</f>
        <v>2899335</v>
      </c>
    </row>
    <row r="5" spans="1:11" x14ac:dyDescent="0.55000000000000004">
      <c r="A5" s="18">
        <v>44289</v>
      </c>
      <c r="B5" s="16">
        <v>13733</v>
      </c>
      <c r="C5" s="16" t="s">
        <v>6</v>
      </c>
      <c r="D5" s="1" t="s">
        <v>29</v>
      </c>
      <c r="E5" s="44" t="s">
        <v>108</v>
      </c>
      <c r="F5" s="19"/>
      <c r="G5" s="19">
        <v>306200</v>
      </c>
      <c r="H5" s="17"/>
      <c r="I5" s="17">
        <f>GBS_SP[[#This Row],[Opening]]+GBS_SP[[#This Row],[Purchase]]-GBS_SP[[#This Row],[Payment]]</f>
        <v>306200</v>
      </c>
      <c r="J5" s="61">
        <f>J4+GBS_SP[[#This Row],[Purchase]]-GBS_SP[[#This Row],[Payment]]</f>
        <v>3205535</v>
      </c>
    </row>
    <row r="6" spans="1:11" x14ac:dyDescent="0.55000000000000004">
      <c r="A6" s="18">
        <v>44292</v>
      </c>
      <c r="B6" s="16">
        <v>4366</v>
      </c>
      <c r="C6" s="16" t="s">
        <v>6</v>
      </c>
      <c r="D6" s="1" t="s">
        <v>29</v>
      </c>
      <c r="E6" s="44" t="s">
        <v>117</v>
      </c>
      <c r="F6" s="19"/>
      <c r="G6" s="19">
        <v>357400</v>
      </c>
      <c r="H6" s="17"/>
      <c r="I6" s="17">
        <f>GBS_SP[[#This Row],[Opening]]+GBS_SP[[#This Row],[Purchase]]-GBS_SP[[#This Row],[Payment]]</f>
        <v>357400</v>
      </c>
      <c r="J6" s="61">
        <f>J5+GBS_SP[[#This Row],[Purchase]]-GBS_SP[[#This Row],[Payment]]</f>
        <v>3562935</v>
      </c>
    </row>
    <row r="7" spans="1:11" x14ac:dyDescent="0.55000000000000004">
      <c r="A7" s="18">
        <v>44292</v>
      </c>
      <c r="B7" s="16">
        <v>752</v>
      </c>
      <c r="C7" s="16" t="s">
        <v>6</v>
      </c>
      <c r="D7" s="1" t="s">
        <v>29</v>
      </c>
      <c r="E7" s="44" t="s">
        <v>122</v>
      </c>
      <c r="F7" s="19"/>
      <c r="G7" s="19">
        <v>295200</v>
      </c>
      <c r="H7" s="17"/>
      <c r="I7" s="17">
        <f>GBS_SP[[#This Row],[Opening]]+GBS_SP[[#This Row],[Purchase]]-GBS_SP[[#This Row],[Payment]]</f>
        <v>295200</v>
      </c>
      <c r="J7" s="61">
        <f>J6+GBS_SP[[#This Row],[Purchase]]-GBS_SP[[#This Row],[Payment]]</f>
        <v>3858135</v>
      </c>
    </row>
    <row r="8" spans="1:11" x14ac:dyDescent="0.55000000000000004">
      <c r="A8" s="18">
        <v>44292</v>
      </c>
      <c r="B8" s="16">
        <v>72</v>
      </c>
      <c r="C8" s="16" t="s">
        <v>6</v>
      </c>
      <c r="D8" s="1" t="s">
        <v>29</v>
      </c>
      <c r="E8" s="44" t="s">
        <v>123</v>
      </c>
      <c r="F8" s="19"/>
      <c r="G8" s="19">
        <v>155600</v>
      </c>
      <c r="H8" s="17"/>
      <c r="I8" s="17">
        <f>GBS_SP[[#This Row],[Opening]]+GBS_SP[[#This Row],[Purchase]]-GBS_SP[[#This Row],[Payment]]</f>
        <v>155600</v>
      </c>
      <c r="J8" s="61">
        <f>J7+GBS_SP[[#This Row],[Purchase]]-GBS_SP[[#This Row],[Payment]]</f>
        <v>4013735</v>
      </c>
    </row>
    <row r="9" spans="1:11" x14ac:dyDescent="0.55000000000000004">
      <c r="A9" s="18">
        <v>44294</v>
      </c>
      <c r="B9" s="16">
        <v>13865</v>
      </c>
      <c r="C9" s="16" t="s">
        <v>6</v>
      </c>
      <c r="D9" s="1" t="s">
        <v>29</v>
      </c>
      <c r="E9" s="44" t="s">
        <v>130</v>
      </c>
      <c r="F9" s="19"/>
      <c r="G9" s="19">
        <v>185000</v>
      </c>
      <c r="H9" s="17"/>
      <c r="I9" s="17">
        <f>GBS_SP[[#This Row],[Opening]]+GBS_SP[[#This Row],[Purchase]]-GBS_SP[[#This Row],[Payment]]</f>
        <v>185000</v>
      </c>
      <c r="J9" s="61">
        <f>J8+GBS_SP[[#This Row],[Purchase]]-GBS_SP[[#This Row],[Payment]]</f>
        <v>4198735</v>
      </c>
    </row>
    <row r="10" spans="1:11" x14ac:dyDescent="0.55000000000000004">
      <c r="A10" s="18">
        <v>44295</v>
      </c>
      <c r="B10" s="16"/>
      <c r="C10" s="16" t="s">
        <v>7</v>
      </c>
      <c r="D10" s="1" t="s">
        <v>29</v>
      </c>
      <c r="E10" s="44" t="s">
        <v>124</v>
      </c>
      <c r="F10" s="19"/>
      <c r="G10" s="19"/>
      <c r="H10" s="17">
        <v>1058650</v>
      </c>
      <c r="I10" s="17">
        <f>GBS_SP[[#This Row],[Opening]]+GBS_SP[[#This Row],[Purchase]]-GBS_SP[[#This Row],[Payment]]</f>
        <v>-1058650</v>
      </c>
      <c r="J10" s="61">
        <f>J9+GBS_SP[[#This Row],[Purchase]]-GBS_SP[[#This Row],[Payment]]</f>
        <v>3140085</v>
      </c>
    </row>
    <row r="11" spans="1:11" x14ac:dyDescent="0.55000000000000004">
      <c r="A11" s="18">
        <v>44295</v>
      </c>
      <c r="B11" s="16">
        <v>13923</v>
      </c>
      <c r="C11" s="16" t="s">
        <v>6</v>
      </c>
      <c r="D11" s="1" t="s">
        <v>29</v>
      </c>
      <c r="E11" s="44" t="s">
        <v>131</v>
      </c>
      <c r="F11" s="19"/>
      <c r="G11" s="19">
        <v>55950</v>
      </c>
      <c r="H11" s="17"/>
      <c r="I11" s="17">
        <f>GBS_SP[[#This Row],[Opening]]+GBS_SP[[#This Row],[Purchase]]-GBS_SP[[#This Row],[Payment]]</f>
        <v>55950</v>
      </c>
      <c r="J11" s="61">
        <f>J10+GBS_SP[[#This Row],[Purchase]]-GBS_SP[[#This Row],[Payment]]</f>
        <v>3196035</v>
      </c>
    </row>
    <row r="12" spans="1:11" x14ac:dyDescent="0.55000000000000004">
      <c r="A12" s="18">
        <v>44306</v>
      </c>
      <c r="B12" s="16">
        <v>13919</v>
      </c>
      <c r="C12" s="16" t="s">
        <v>6</v>
      </c>
      <c r="D12" s="1" t="s">
        <v>29</v>
      </c>
      <c r="E12" s="44" t="s">
        <v>149</v>
      </c>
      <c r="F12" s="19"/>
      <c r="G12" s="19">
        <v>226700</v>
      </c>
      <c r="H12" s="17"/>
      <c r="I12" s="17">
        <f>GBS_SP[[#This Row],[Opening]]+GBS_SP[[#This Row],[Purchase]]-GBS_SP[[#This Row],[Payment]]</f>
        <v>226700</v>
      </c>
      <c r="J12" s="61">
        <f>J11+GBS_SP[[#This Row],[Purchase]]-GBS_SP[[#This Row],[Payment]]</f>
        <v>3422735</v>
      </c>
    </row>
    <row r="13" spans="1:11" x14ac:dyDescent="0.55000000000000004">
      <c r="A13" s="54">
        <v>44307</v>
      </c>
      <c r="B13" s="55">
        <v>4602</v>
      </c>
      <c r="C13" s="55" t="s">
        <v>6</v>
      </c>
      <c r="D13" s="1" t="s">
        <v>29</v>
      </c>
      <c r="E13" s="56" t="s">
        <v>146</v>
      </c>
      <c r="F13" s="53"/>
      <c r="G13" s="53">
        <v>140000</v>
      </c>
      <c r="H13" s="57"/>
      <c r="I13" s="57">
        <f>GBS_SP[[#This Row],[Opening]]+GBS_SP[[#This Row],[Purchase]]-GBS_SP[[#This Row],[Payment]]</f>
        <v>140000</v>
      </c>
      <c r="J13" s="61">
        <f>J12+GBS_SP[[#This Row],[Purchase]]-GBS_SP[[#This Row],[Payment]]</f>
        <v>3562735</v>
      </c>
    </row>
    <row r="14" spans="1:11" x14ac:dyDescent="0.55000000000000004">
      <c r="A14" s="54">
        <v>44307</v>
      </c>
      <c r="B14" s="55">
        <v>4601</v>
      </c>
      <c r="C14" s="55" t="s">
        <v>6</v>
      </c>
      <c r="D14" s="1" t="s">
        <v>29</v>
      </c>
      <c r="E14" s="56" t="s">
        <v>147</v>
      </c>
      <c r="F14" s="53"/>
      <c r="G14" s="53">
        <v>221200</v>
      </c>
      <c r="H14" s="57"/>
      <c r="I14" s="57">
        <f>GBS_SP[[#This Row],[Opening]]+GBS_SP[[#This Row],[Purchase]]-GBS_SP[[#This Row],[Payment]]</f>
        <v>221200</v>
      </c>
      <c r="J14" s="61">
        <f>J13+GBS_SP[[#This Row],[Purchase]]-GBS_SP[[#This Row],[Payment]]</f>
        <v>3783935</v>
      </c>
    </row>
    <row r="15" spans="1:11" x14ac:dyDescent="0.55000000000000004">
      <c r="A15" s="54">
        <v>44307</v>
      </c>
      <c r="B15" s="55">
        <v>4601</v>
      </c>
      <c r="C15" s="55" t="s">
        <v>6</v>
      </c>
      <c r="D15" s="1" t="s">
        <v>29</v>
      </c>
      <c r="E15" s="56" t="s">
        <v>148</v>
      </c>
      <c r="F15" s="53"/>
      <c r="G15" s="53">
        <v>115600</v>
      </c>
      <c r="H15" s="57"/>
      <c r="I15" s="57">
        <f>GBS_SP[[#This Row],[Opening]]+GBS_SP[[#This Row],[Purchase]]-GBS_SP[[#This Row],[Payment]]</f>
        <v>115600</v>
      </c>
      <c r="J15" s="61">
        <f>J14+GBS_SP[[#This Row],[Purchase]]-GBS_SP[[#This Row],[Payment]]</f>
        <v>3899535</v>
      </c>
    </row>
    <row r="16" spans="1:11" x14ac:dyDescent="0.55000000000000004">
      <c r="A16" s="54">
        <v>44315</v>
      </c>
      <c r="B16" s="55">
        <v>732</v>
      </c>
      <c r="C16" s="55" t="s">
        <v>7</v>
      </c>
      <c r="D16" s="1" t="s">
        <v>29</v>
      </c>
      <c r="E16" s="44" t="s">
        <v>110</v>
      </c>
      <c r="F16" s="53"/>
      <c r="G16" s="53"/>
      <c r="H16" s="57">
        <v>364500</v>
      </c>
      <c r="I16" s="57">
        <f>GBS_SP[[#This Row],[Opening]]+GBS_SP[[#This Row],[Purchase]]-GBS_SP[[#This Row],[Payment]]</f>
        <v>-364500</v>
      </c>
      <c r="J16" s="61">
        <f>J15+GBS_SP[[#This Row],[Purchase]]-GBS_SP[[#This Row],[Payment]]</f>
        <v>3535035</v>
      </c>
    </row>
    <row r="17" spans="1:10" x14ac:dyDescent="0.55000000000000004">
      <c r="A17" s="47">
        <v>44314</v>
      </c>
      <c r="B17" s="48">
        <v>14325</v>
      </c>
      <c r="C17" s="48" t="s">
        <v>6</v>
      </c>
      <c r="D17" s="1" t="s">
        <v>29</v>
      </c>
      <c r="E17" s="44" t="s">
        <v>165</v>
      </c>
      <c r="F17" s="50"/>
      <c r="G17" s="50">
        <v>545900</v>
      </c>
      <c r="H17" s="51"/>
      <c r="I17" s="51">
        <f>GBS_SP[[#This Row],[Opening]]+GBS_SP[[#This Row],[Purchase]]-GBS_SP[[#This Row],[Payment]]</f>
        <v>545900</v>
      </c>
      <c r="J17" s="61">
        <f>J16+GBS_SP[[#This Row],[Purchase]]-GBS_SP[[#This Row],[Payment]]</f>
        <v>4080935</v>
      </c>
    </row>
    <row r="18" spans="1:10" x14ac:dyDescent="0.55000000000000004">
      <c r="A18" s="47"/>
      <c r="B18" s="48"/>
      <c r="C18" s="48"/>
      <c r="D18" s="49"/>
      <c r="E18" s="44"/>
      <c r="F18" s="50"/>
      <c r="G18" s="50"/>
      <c r="H18" s="51"/>
      <c r="I18" s="51"/>
    </row>
    <row r="19" spans="1:10" x14ac:dyDescent="0.55000000000000004">
      <c r="C19" s="11"/>
    </row>
    <row r="20" spans="1:10" x14ac:dyDescent="0.55000000000000004">
      <c r="C20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9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25.7109375" style="7" customWidth="1"/>
    <col min="6" max="6" width="12.7109375" style="8" customWidth="1"/>
    <col min="7" max="7" width="13.140625" style="8" customWidth="1"/>
    <col min="8" max="8" width="15.140625" style="9" customWidth="1"/>
    <col min="9" max="9" width="14.7109375" style="9" bestFit="1" customWidth="1"/>
    <col min="10" max="10" width="17.855468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77</v>
      </c>
      <c r="E2" s="7" t="s">
        <v>5</v>
      </c>
      <c r="F2" s="19">
        <v>2250700</v>
      </c>
      <c r="G2" s="19"/>
      <c r="H2" s="17"/>
      <c r="I2" s="17">
        <f>KWH[[#This Row],[Opening]]+KWH[[#This Row],[Purchase]]-KWH[[#This Row],[Payment]]</f>
        <v>2250700</v>
      </c>
      <c r="J2" s="61">
        <f>KWH[[#This Row],[Balance]]</f>
        <v>2250700</v>
      </c>
    </row>
    <row r="3" spans="1:11" x14ac:dyDescent="0.55000000000000004">
      <c r="A3" s="18">
        <v>44289</v>
      </c>
      <c r="B3" s="16">
        <v>7289</v>
      </c>
      <c r="C3" s="16" t="s">
        <v>6</v>
      </c>
      <c r="D3" s="1" t="s">
        <v>77</v>
      </c>
      <c r="E3" s="43" t="s">
        <v>101</v>
      </c>
      <c r="F3" s="19"/>
      <c r="G3" s="19">
        <v>156780</v>
      </c>
      <c r="H3" s="17"/>
      <c r="I3" s="17">
        <f>KWH[[#This Row],[Opening]]+KWH[[#This Row],[Purchase]]-KWH[[#This Row],[Payment]]</f>
        <v>156780</v>
      </c>
      <c r="J3" s="61">
        <f>J2+KWH[[#This Row],[Purchase]]-KWH[[#This Row],[Payment]]</f>
        <v>2407480</v>
      </c>
    </row>
    <row r="4" spans="1:11" x14ac:dyDescent="0.55000000000000004">
      <c r="A4" s="18">
        <v>44293</v>
      </c>
      <c r="B4" s="16">
        <v>7290</v>
      </c>
      <c r="C4" s="16" t="s">
        <v>6</v>
      </c>
      <c r="D4" s="1" t="s">
        <v>77</v>
      </c>
      <c r="E4" s="44" t="s">
        <v>120</v>
      </c>
      <c r="F4" s="19"/>
      <c r="G4" s="19">
        <v>118500</v>
      </c>
      <c r="H4" s="17"/>
      <c r="I4" s="17">
        <f>KWH[[#This Row],[Opening]]+KWH[[#This Row],[Purchase]]-KWH[[#This Row],[Payment]]</f>
        <v>118500</v>
      </c>
      <c r="J4" s="61">
        <f>J3+KWH[[#This Row],[Purchase]]-KWH[[#This Row],[Payment]]</f>
        <v>2525980</v>
      </c>
    </row>
    <row r="5" spans="1:11" x14ac:dyDescent="0.55000000000000004">
      <c r="A5" s="18">
        <v>44293</v>
      </c>
      <c r="B5" s="16">
        <v>7290</v>
      </c>
      <c r="C5" s="16" t="s">
        <v>6</v>
      </c>
      <c r="D5" s="1" t="s">
        <v>77</v>
      </c>
      <c r="E5" s="44" t="s">
        <v>121</v>
      </c>
      <c r="F5" s="19"/>
      <c r="G5" s="19">
        <v>99000</v>
      </c>
      <c r="H5" s="17"/>
      <c r="I5" s="17">
        <f>KWH[[#This Row],[Opening]]+KWH[[#This Row],[Purchase]]-KWH[[#This Row],[Payment]]</f>
        <v>99000</v>
      </c>
      <c r="J5" s="61">
        <f>J4+KWH[[#This Row],[Purchase]]-KWH[[#This Row],[Payment]]</f>
        <v>2624980</v>
      </c>
    </row>
    <row r="6" spans="1:11" x14ac:dyDescent="0.55000000000000004">
      <c r="A6" s="18">
        <v>44305</v>
      </c>
      <c r="B6" s="16">
        <v>7291</v>
      </c>
      <c r="C6" s="16" t="s">
        <v>6</v>
      </c>
      <c r="D6" s="1" t="s">
        <v>77</v>
      </c>
      <c r="E6" s="44" t="s">
        <v>136</v>
      </c>
      <c r="F6" s="19"/>
      <c r="G6" s="19">
        <v>72000</v>
      </c>
      <c r="H6" s="17"/>
      <c r="I6" s="17">
        <f>KWH[[#This Row],[Opening]]+KWH[[#This Row],[Purchase]]-KWH[[#This Row],[Payment]]</f>
        <v>72000</v>
      </c>
      <c r="J6" s="61">
        <f>J5+KWH[[#This Row],[Purchase]]-KWH[[#This Row],[Payment]]</f>
        <v>2696980</v>
      </c>
    </row>
    <row r="7" spans="1:11" x14ac:dyDescent="0.55000000000000004">
      <c r="A7" s="54">
        <v>44314</v>
      </c>
      <c r="B7" s="55">
        <v>44</v>
      </c>
      <c r="C7" s="55" t="s">
        <v>7</v>
      </c>
      <c r="D7" s="1" t="s">
        <v>77</v>
      </c>
      <c r="E7" s="44" t="s">
        <v>125</v>
      </c>
      <c r="F7" s="53"/>
      <c r="G7" s="53"/>
      <c r="H7" s="57">
        <v>1000000</v>
      </c>
      <c r="I7" s="57">
        <f>KWH[[#This Row],[Opening]]+KWH[[#This Row],[Purchase]]-KWH[[#This Row],[Payment]]</f>
        <v>-1000000</v>
      </c>
      <c r="J7" s="61">
        <f>J6+KWH[[#This Row],[Purchase]]-KWH[[#This Row],[Payment]]</f>
        <v>1696980</v>
      </c>
    </row>
    <row r="8" spans="1:11" x14ac:dyDescent="0.55000000000000004">
      <c r="A8" s="47"/>
      <c r="B8" s="48"/>
      <c r="C8" s="48"/>
      <c r="D8" s="49"/>
      <c r="E8" s="44"/>
      <c r="F8" s="50"/>
      <c r="G8" s="50"/>
      <c r="H8" s="51"/>
      <c r="I8" s="51"/>
    </row>
    <row r="9" spans="1:11" x14ac:dyDescent="0.55000000000000004">
      <c r="A9" s="18"/>
      <c r="B9" s="16"/>
      <c r="C9" s="16"/>
      <c r="F9" s="19"/>
      <c r="G9" s="19"/>
      <c r="H9" s="17"/>
      <c r="I9" s="17"/>
    </row>
    <row r="10" spans="1:11" x14ac:dyDescent="0.55000000000000004">
      <c r="A10" s="18"/>
      <c r="B10" s="16"/>
      <c r="C10" s="16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  <row r="13" spans="1:11" x14ac:dyDescent="0.55000000000000004">
      <c r="A13" s="29"/>
      <c r="B13" s="30"/>
      <c r="C13" s="30"/>
      <c r="F13" s="32"/>
      <c r="G13" s="32"/>
      <c r="H13" s="33"/>
      <c r="I13" s="33"/>
    </row>
    <row r="14" spans="1:11" x14ac:dyDescent="0.55000000000000004">
      <c r="A14" s="29"/>
      <c r="B14" s="30"/>
      <c r="C14" s="30"/>
      <c r="F14" s="32"/>
      <c r="G14" s="32"/>
      <c r="H14" s="33"/>
      <c r="I14" s="33"/>
    </row>
    <row r="15" spans="1:11" x14ac:dyDescent="0.55000000000000004">
      <c r="A15" s="29"/>
      <c r="B15" s="30"/>
      <c r="C15" s="30"/>
      <c r="D15" s="31"/>
      <c r="E15" s="28"/>
      <c r="F15" s="32"/>
      <c r="G15" s="32"/>
      <c r="H15" s="33"/>
      <c r="I15" s="33"/>
    </row>
    <row r="16" spans="1:11" x14ac:dyDescent="0.55000000000000004">
      <c r="A16" s="29"/>
      <c r="B16" s="30"/>
      <c r="C16" s="30"/>
      <c r="D16" s="31"/>
      <c r="E16" s="28"/>
      <c r="F16" s="32"/>
      <c r="G16" s="32"/>
      <c r="H16" s="33"/>
      <c r="I16" s="33"/>
    </row>
    <row r="17" spans="1:9" x14ac:dyDescent="0.55000000000000004">
      <c r="A17" s="29"/>
      <c r="B17" s="30"/>
      <c r="C17" s="30"/>
      <c r="D17" s="31"/>
      <c r="E17" s="28"/>
      <c r="F17" s="32"/>
      <c r="G17" s="32"/>
      <c r="H17" s="33"/>
      <c r="I17" s="33"/>
    </row>
    <row r="18" spans="1:9" x14ac:dyDescent="0.55000000000000004">
      <c r="A18" s="29"/>
      <c r="B18" s="30"/>
      <c r="C18" s="30"/>
      <c r="D18" s="31"/>
      <c r="E18" s="28"/>
      <c r="F18" s="32"/>
      <c r="G18" s="32"/>
      <c r="H18" s="33"/>
      <c r="I18" s="33"/>
    </row>
    <row r="19" spans="1:9" x14ac:dyDescent="0.55000000000000004">
      <c r="A19" s="29"/>
      <c r="B19" s="30"/>
      <c r="C19" s="30"/>
      <c r="D19" s="31"/>
      <c r="E19" s="28"/>
      <c r="F19" s="32"/>
      <c r="G19" s="32"/>
      <c r="H19" s="33"/>
      <c r="I19" s="3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4"/>
  <sheetViews>
    <sheetView topLeftCell="C1" workbookViewId="0">
      <selection activeCell="J1" sqref="J1"/>
    </sheetView>
  </sheetViews>
  <sheetFormatPr defaultColWidth="8.7109375" defaultRowHeight="21.75" x14ac:dyDescent="0.55000000000000004"/>
  <cols>
    <col min="1" max="1" width="15.42578125" style="13" bestFit="1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51.5703125" style="7" customWidth="1"/>
    <col min="6" max="6" width="17.5703125" style="8" bestFit="1" customWidth="1"/>
    <col min="7" max="7" width="18.42578125" style="8" customWidth="1"/>
    <col min="8" max="8" width="16.85546875" style="9" customWidth="1"/>
    <col min="9" max="9" width="14.7109375" style="9" bestFit="1" customWidth="1"/>
    <col min="10" max="10" width="17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58</v>
      </c>
      <c r="E2" s="7" t="s">
        <v>5</v>
      </c>
      <c r="F2" s="19">
        <v>2184122</v>
      </c>
      <c r="G2" s="19"/>
      <c r="H2" s="17"/>
      <c r="I2" s="17">
        <f>KYINNLOON[[#This Row],[Opening]]+KYINNLOON[[#This Row],[Purchase]]-KYINNLOON[[#This Row],[Payment]]</f>
        <v>2184122</v>
      </c>
      <c r="J2" s="61">
        <f>KYINNLOON[[#This Row],[Balance]]</f>
        <v>2184122</v>
      </c>
    </row>
    <row r="3" spans="1:11" x14ac:dyDescent="0.55000000000000004">
      <c r="A3" s="18">
        <v>44291</v>
      </c>
      <c r="B3" s="16">
        <v>55</v>
      </c>
      <c r="C3" s="16" t="s">
        <v>6</v>
      </c>
      <c r="D3" s="1" t="s">
        <v>58</v>
      </c>
      <c r="E3" s="44" t="s">
        <v>113</v>
      </c>
      <c r="F3" s="19"/>
      <c r="G3" s="19">
        <v>318000</v>
      </c>
      <c r="H3" s="17"/>
      <c r="I3" s="17">
        <f>KYINNLOON[[#This Row],[Opening]]+KYINNLOON[[#This Row],[Purchase]]-KYINNLOON[[#This Row],[Payment]]</f>
        <v>318000</v>
      </c>
      <c r="J3" s="61">
        <f>J2+KYINNLOON[[#This Row],[Purchase]]-KYINNLOON[[#This Row],[Payment]]</f>
        <v>2502122</v>
      </c>
    </row>
    <row r="4" spans="1:11" x14ac:dyDescent="0.55000000000000004">
      <c r="A4" s="18">
        <v>44278</v>
      </c>
      <c r="B4" s="16">
        <v>132</v>
      </c>
      <c r="C4" s="16" t="s">
        <v>6</v>
      </c>
      <c r="D4" s="1" t="s">
        <v>58</v>
      </c>
      <c r="E4" s="44" t="s">
        <v>114</v>
      </c>
      <c r="F4" s="19"/>
      <c r="G4" s="19">
        <v>145800</v>
      </c>
      <c r="H4" s="17"/>
      <c r="I4" s="17">
        <f>KYINNLOON[[#This Row],[Opening]]+KYINNLOON[[#This Row],[Purchase]]-KYINNLOON[[#This Row],[Payment]]</f>
        <v>145800</v>
      </c>
      <c r="J4" s="61">
        <f>J3+KYINNLOON[[#This Row],[Purchase]]-KYINNLOON[[#This Row],[Payment]]</f>
        <v>2647922</v>
      </c>
    </row>
    <row r="5" spans="1:11" x14ac:dyDescent="0.55000000000000004">
      <c r="A5" s="18">
        <v>44305</v>
      </c>
      <c r="B5" s="16"/>
      <c r="C5" s="16" t="s">
        <v>7</v>
      </c>
      <c r="D5" s="1" t="s">
        <v>58</v>
      </c>
      <c r="E5" s="44" t="s">
        <v>124</v>
      </c>
      <c r="F5" s="19"/>
      <c r="G5" s="19"/>
      <c r="H5" s="17">
        <v>2603672</v>
      </c>
      <c r="I5" s="17">
        <f>KYINNLOON[[#This Row],[Opening]]+KYINNLOON[[#This Row],[Purchase]]-KYINNLOON[[#This Row],[Payment]]</f>
        <v>-2603672</v>
      </c>
      <c r="J5" s="61">
        <f>J4+KYINNLOON[[#This Row],[Purchase]]-KYINNLOON[[#This Row],[Payment]]</f>
        <v>44250</v>
      </c>
    </row>
    <row r="6" spans="1:11" x14ac:dyDescent="0.55000000000000004">
      <c r="A6" s="18">
        <v>44305</v>
      </c>
      <c r="B6" s="16">
        <v>154</v>
      </c>
      <c r="C6" s="16" t="s">
        <v>6</v>
      </c>
      <c r="D6" s="1" t="s">
        <v>58</v>
      </c>
      <c r="E6" s="44" t="s">
        <v>135</v>
      </c>
      <c r="F6" s="19"/>
      <c r="G6" s="19">
        <v>693900</v>
      </c>
      <c r="H6" s="17"/>
      <c r="I6" s="17">
        <f>KYINNLOON[[#This Row],[Opening]]+KYINNLOON[[#This Row],[Purchase]]-KYINNLOON[[#This Row],[Payment]]</f>
        <v>693900</v>
      </c>
      <c r="J6" s="61">
        <f>J5+KYINNLOON[[#This Row],[Purchase]]-KYINNLOON[[#This Row],[Payment]]</f>
        <v>738150</v>
      </c>
    </row>
    <row r="7" spans="1:11" x14ac:dyDescent="0.55000000000000004">
      <c r="A7" s="54"/>
      <c r="B7" s="55"/>
      <c r="C7" s="55"/>
      <c r="D7" s="52"/>
      <c r="E7" s="56"/>
      <c r="F7" s="53"/>
      <c r="G7" s="53"/>
      <c r="H7" s="57"/>
      <c r="I7" s="5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54"/>
      <c r="B12" s="55"/>
      <c r="C12" s="55"/>
      <c r="D12" s="52"/>
      <c r="E12" s="56"/>
      <c r="F12" s="53"/>
      <c r="G12" s="53"/>
      <c r="H12" s="57"/>
      <c r="I12" s="17"/>
    </row>
    <row r="13" spans="1:11" x14ac:dyDescent="0.55000000000000004">
      <c r="C13" s="11"/>
    </row>
    <row r="14" spans="1:11" x14ac:dyDescent="0.55000000000000004">
      <c r="C14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2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18.140625" style="1" customWidth="1"/>
    <col min="5" max="5" width="31.42578125" style="7" customWidth="1"/>
    <col min="6" max="6" width="17.5703125" style="8" bestFit="1" customWidth="1"/>
    <col min="7" max="7" width="18.42578125" style="8" customWidth="1"/>
    <col min="8" max="8" width="17" style="9" customWidth="1"/>
    <col min="9" max="9" width="18" style="9" customWidth="1"/>
    <col min="10" max="10" width="17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42</v>
      </c>
      <c r="E2" s="7" t="s">
        <v>5</v>
      </c>
      <c r="F2" s="19">
        <v>35000</v>
      </c>
      <c r="G2" s="19"/>
      <c r="H2" s="17"/>
      <c r="I2" s="17">
        <f>MOB[[#This Row],[Opening]]+MOB[[#This Row],[Purchase]]-MOB[[#This Row],[Payment]]</f>
        <v>35000</v>
      </c>
      <c r="J2" s="61">
        <f>MOB[[#This Row],[Balance]]</f>
        <v>35000</v>
      </c>
    </row>
    <row r="3" spans="1:11" x14ac:dyDescent="0.55000000000000004">
      <c r="A3" s="18">
        <v>44292</v>
      </c>
      <c r="B3" s="16">
        <v>9102</v>
      </c>
      <c r="C3" s="16" t="s">
        <v>6</v>
      </c>
      <c r="D3" s="1" t="s">
        <v>42</v>
      </c>
      <c r="E3" s="44" t="s">
        <v>119</v>
      </c>
      <c r="F3" s="19"/>
      <c r="G3" s="19">
        <v>17500</v>
      </c>
      <c r="H3" s="17"/>
      <c r="I3" s="17">
        <f>MOB[[#This Row],[Opening]]+MOB[[#This Row],[Purchase]]-MOB[[#This Row],[Payment]]</f>
        <v>17500</v>
      </c>
      <c r="J3" s="61">
        <f>J2+MOB[[#This Row],[Purchase]]-MOB[[#This Row],[Payment]]</f>
        <v>52500</v>
      </c>
    </row>
    <row r="4" spans="1:11" x14ac:dyDescent="0.55000000000000004">
      <c r="A4" s="18">
        <v>44295</v>
      </c>
      <c r="B4" s="16">
        <v>9108</v>
      </c>
      <c r="C4" s="16" t="s">
        <v>6</v>
      </c>
      <c r="D4" s="1" t="s">
        <v>42</v>
      </c>
      <c r="E4" s="44" t="s">
        <v>129</v>
      </c>
      <c r="F4" s="19"/>
      <c r="G4" s="19">
        <v>87500</v>
      </c>
      <c r="H4" s="17"/>
      <c r="I4" s="17">
        <f>MOB[[#This Row],[Opening]]+MOB[[#This Row],[Purchase]]-MOB[[#This Row],[Payment]]</f>
        <v>87500</v>
      </c>
      <c r="J4" s="61">
        <f>J3+MOB[[#This Row],[Purchase]]-MOB[[#This Row],[Payment]]</f>
        <v>140000</v>
      </c>
    </row>
    <row r="5" spans="1:11" x14ac:dyDescent="0.55000000000000004">
      <c r="A5" s="18">
        <v>44314</v>
      </c>
      <c r="B5" s="16">
        <v>18634</v>
      </c>
      <c r="C5" s="16" t="s">
        <v>7</v>
      </c>
      <c r="D5" s="1" t="s">
        <v>42</v>
      </c>
      <c r="E5" s="44" t="s">
        <v>125</v>
      </c>
      <c r="F5" s="19"/>
      <c r="G5" s="19"/>
      <c r="H5" s="17">
        <v>140000</v>
      </c>
      <c r="I5" s="17">
        <f>MOB[[#This Row],[Opening]]+MOB[[#This Row],[Purchase]]-MOB[[#This Row],[Payment]]</f>
        <v>-140000</v>
      </c>
      <c r="J5" s="61">
        <f>J4+MOB[[#This Row],[Purchase]]-MOB[[#This Row],[Payment]]</f>
        <v>0</v>
      </c>
    </row>
    <row r="6" spans="1:11" x14ac:dyDescent="0.55000000000000004">
      <c r="A6" s="47"/>
      <c r="B6" s="48"/>
      <c r="C6" s="48"/>
      <c r="D6" s="49"/>
      <c r="E6" s="44"/>
      <c r="F6" s="50"/>
      <c r="G6" s="50"/>
      <c r="H6" s="51"/>
      <c r="I6" s="51"/>
    </row>
    <row r="7" spans="1:11" x14ac:dyDescent="0.55000000000000004">
      <c r="A7" s="18"/>
      <c r="B7" s="16"/>
      <c r="C7" s="16"/>
      <c r="E7" s="14"/>
      <c r="F7" s="19"/>
      <c r="G7" s="19"/>
      <c r="H7" s="17"/>
      <c r="I7" s="1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7.570312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27.42578125" style="7" customWidth="1"/>
    <col min="6" max="6" width="17.5703125" style="8" bestFit="1" customWidth="1"/>
    <col min="7" max="7" width="18.42578125" style="8" customWidth="1"/>
    <col min="8" max="8" width="17.42578125" style="9" customWidth="1"/>
    <col min="9" max="9" width="14.7109375" style="9" bestFit="1" customWidth="1"/>
    <col min="10" max="10" width="18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78</v>
      </c>
      <c r="E2" s="7" t="s">
        <v>5</v>
      </c>
      <c r="F2" s="19">
        <v>132500</v>
      </c>
      <c r="G2" s="19"/>
      <c r="H2" s="17"/>
      <c r="I2" s="17">
        <f>MAYWD[[#This Row],[Opening]]+MAYWD[[#This Row],[Purchase]]-MAYWD[[#This Row],[Payment]]</f>
        <v>132500</v>
      </c>
      <c r="J2" s="61">
        <f>MAYWD[[#This Row],[Balance]]</f>
        <v>132500</v>
      </c>
    </row>
    <row r="3" spans="1:11" x14ac:dyDescent="0.55000000000000004">
      <c r="A3" s="18">
        <v>44291</v>
      </c>
      <c r="B3" s="16"/>
      <c r="C3" s="16" t="s">
        <v>6</v>
      </c>
      <c r="D3" s="1" t="s">
        <v>78</v>
      </c>
      <c r="E3" s="44" t="s">
        <v>99</v>
      </c>
      <c r="F3" s="19"/>
      <c r="G3" s="19">
        <v>62000</v>
      </c>
      <c r="H3" s="17"/>
      <c r="I3" s="17">
        <f>MAYWD[[#This Row],[Opening]]+MAYWD[[#This Row],[Purchase]]-MAYWD[[#This Row],[Payment]]</f>
        <v>62000</v>
      </c>
      <c r="J3" s="61">
        <f>J2+MAYWD[[#This Row],[Purchase]]-MAYWD[[#This Row],[Payment]]</f>
        <v>194500</v>
      </c>
    </row>
    <row r="4" spans="1:11" x14ac:dyDescent="0.55000000000000004">
      <c r="A4" s="18">
        <v>44292</v>
      </c>
      <c r="B4" s="16"/>
      <c r="C4" s="16" t="s">
        <v>7</v>
      </c>
      <c r="D4" s="1" t="s">
        <v>78</v>
      </c>
      <c r="E4" s="44" t="s">
        <v>110</v>
      </c>
      <c r="F4" s="19"/>
      <c r="G4" s="19"/>
      <c r="H4" s="17">
        <v>194500</v>
      </c>
      <c r="I4" s="17">
        <f>MAYWD[[#This Row],[Opening]]+MAYWD[[#This Row],[Purchase]]-MAYWD[[#This Row],[Payment]]</f>
        <v>-194500</v>
      </c>
      <c r="J4" s="61">
        <f>J3+MAYWD[[#This Row],[Purchase]]-MAYWD[[#This Row],[Payment]]</f>
        <v>0</v>
      </c>
    </row>
    <row r="5" spans="1:11" x14ac:dyDescent="0.55000000000000004">
      <c r="A5" s="18">
        <v>44292</v>
      </c>
      <c r="B5" s="16"/>
      <c r="C5" s="16" t="s">
        <v>6</v>
      </c>
      <c r="D5" s="1" t="s">
        <v>78</v>
      </c>
      <c r="E5" s="44" t="s">
        <v>111</v>
      </c>
      <c r="F5" s="19"/>
      <c r="G5" s="19">
        <v>17250</v>
      </c>
      <c r="H5" s="17"/>
      <c r="I5" s="17">
        <f>MAYWD[[#This Row],[Opening]]+MAYWD[[#This Row],[Purchase]]-MAYWD[[#This Row],[Payment]]</f>
        <v>17250</v>
      </c>
      <c r="J5" s="61">
        <f>J4+MAYWD[[#This Row],[Purchase]]-MAYWD[[#This Row],[Payment]]</f>
        <v>17250</v>
      </c>
    </row>
    <row r="6" spans="1:11" x14ac:dyDescent="0.55000000000000004">
      <c r="A6" s="18">
        <v>44295</v>
      </c>
      <c r="B6" s="16">
        <v>9359</v>
      </c>
      <c r="C6" s="16" t="s">
        <v>7</v>
      </c>
      <c r="D6" s="1" t="s">
        <v>78</v>
      </c>
      <c r="E6" s="7" t="s">
        <v>110</v>
      </c>
      <c r="F6" s="19"/>
      <c r="G6" s="19"/>
      <c r="H6" s="17">
        <v>17250</v>
      </c>
      <c r="I6" s="17">
        <f>MAYWD[[#This Row],[Opening]]+MAYWD[[#This Row],[Purchase]]-MAYWD[[#This Row],[Payment]]</f>
        <v>-17250</v>
      </c>
      <c r="J6" s="61">
        <f>J5+MAYWD[[#This Row],[Purchase]]-MAYWD[[#This Row],[Payment]]</f>
        <v>0</v>
      </c>
    </row>
    <row r="7" spans="1:11" x14ac:dyDescent="0.55000000000000004">
      <c r="A7" s="18">
        <v>44305</v>
      </c>
      <c r="B7" s="16">
        <v>4905</v>
      </c>
      <c r="C7" s="16" t="s">
        <v>6</v>
      </c>
      <c r="D7" s="1" t="s">
        <v>78</v>
      </c>
      <c r="E7" s="44" t="s">
        <v>140</v>
      </c>
      <c r="F7" s="19"/>
      <c r="G7" s="19">
        <v>119500</v>
      </c>
      <c r="H7" s="17"/>
      <c r="I7" s="17">
        <f>MAYWD[[#This Row],[Opening]]+MAYWD[[#This Row],[Purchase]]-MAYWD[[#This Row],[Payment]]</f>
        <v>119500</v>
      </c>
      <c r="J7" s="61">
        <f>J6+MAYWD[[#This Row],[Purchase]]-MAYWD[[#This Row],[Payment]]</f>
        <v>119500</v>
      </c>
    </row>
    <row r="8" spans="1:11" x14ac:dyDescent="0.55000000000000004">
      <c r="A8" s="54">
        <v>44309</v>
      </c>
      <c r="B8" s="55">
        <v>4136</v>
      </c>
      <c r="C8" s="55" t="s">
        <v>6</v>
      </c>
      <c r="D8" s="1" t="s">
        <v>78</v>
      </c>
      <c r="E8" s="56" t="s">
        <v>154</v>
      </c>
      <c r="F8" s="53"/>
      <c r="G8" s="53">
        <v>16000</v>
      </c>
      <c r="H8" s="57"/>
      <c r="I8" s="57">
        <f>MAYWD[[#This Row],[Opening]]+MAYWD[[#This Row],[Purchase]]-MAYWD[[#This Row],[Payment]]</f>
        <v>16000</v>
      </c>
      <c r="J8" s="61">
        <f>J7+MAYWD[[#This Row],[Purchase]]-MAYWD[[#This Row],[Payment]]</f>
        <v>135500</v>
      </c>
    </row>
    <row r="9" spans="1:11" x14ac:dyDescent="0.55000000000000004">
      <c r="A9" s="54">
        <v>44310</v>
      </c>
      <c r="B9" s="55">
        <v>4911</v>
      </c>
      <c r="C9" s="55" t="s">
        <v>6</v>
      </c>
      <c r="D9" s="1" t="s">
        <v>78</v>
      </c>
      <c r="E9" s="56" t="s">
        <v>158</v>
      </c>
      <c r="F9" s="53"/>
      <c r="G9" s="53">
        <v>250200</v>
      </c>
      <c r="H9" s="57"/>
      <c r="I9" s="57">
        <f>MAYWD[[#This Row],[Opening]]+MAYWD[[#This Row],[Purchase]]-MAYWD[[#This Row],[Payment]]</f>
        <v>250200</v>
      </c>
      <c r="J9" s="61">
        <f>J8+MAYWD[[#This Row],[Purchase]]-MAYWD[[#This Row],[Payment]]</f>
        <v>385700</v>
      </c>
    </row>
    <row r="10" spans="1:11" x14ac:dyDescent="0.55000000000000004">
      <c r="A10" s="54">
        <v>44312</v>
      </c>
      <c r="B10" s="55"/>
      <c r="C10" s="55" t="s">
        <v>7</v>
      </c>
      <c r="D10" s="1" t="s">
        <v>78</v>
      </c>
      <c r="E10" s="7" t="s">
        <v>110</v>
      </c>
      <c r="F10" s="53"/>
      <c r="G10" s="53"/>
      <c r="H10" s="57">
        <v>385700</v>
      </c>
      <c r="I10" s="57">
        <f>MAYWD[[#This Row],[Opening]]+MAYWD[[#This Row],[Purchase]]-MAYWD[[#This Row],[Payment]]</f>
        <v>-385700</v>
      </c>
      <c r="J10" s="61">
        <f>J9+MAYWD[[#This Row],[Purchase]]-MAYWD[[#This Row],[Payment]]</f>
        <v>0</v>
      </c>
    </row>
    <row r="11" spans="1:11" x14ac:dyDescent="0.55000000000000004">
      <c r="A11" s="54"/>
      <c r="B11" s="55"/>
      <c r="C11" s="55"/>
      <c r="D11" s="52"/>
      <c r="E11" s="56"/>
      <c r="F11" s="53"/>
      <c r="G11" s="53"/>
      <c r="H11" s="57"/>
      <c r="I11" s="5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C14" s="11"/>
    </row>
    <row r="15" spans="1:11" x14ac:dyDescent="0.55000000000000004">
      <c r="C15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6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5"/>
      <c r="C2" s="16" t="s">
        <v>5</v>
      </c>
      <c r="D2" s="1" t="s">
        <v>44</v>
      </c>
      <c r="E2" s="7" t="s">
        <v>5</v>
      </c>
      <c r="F2" s="19">
        <v>2208992</v>
      </c>
      <c r="G2" s="19"/>
      <c r="H2" s="17"/>
      <c r="I2" s="17">
        <f>MDYSP[[#This Row],[Opening]]+MDYSP[[#This Row],[Purchase]]-MDYSP[[#This Row],[Payment]]</f>
        <v>2208992</v>
      </c>
      <c r="J2" s="61">
        <f>MDYSP[Balance]</f>
        <v>2208992</v>
      </c>
    </row>
    <row r="3" spans="1:11" x14ac:dyDescent="0.55000000000000004">
      <c r="A3" s="18"/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6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42578125" style="1" customWidth="1"/>
    <col min="4" max="4" width="18.28515625" style="1" customWidth="1"/>
    <col min="5" max="5" width="33.85546875" style="7" customWidth="1"/>
    <col min="6" max="6" width="17.5703125" style="8" bestFit="1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16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79</v>
      </c>
      <c r="E2" s="7" t="s">
        <v>5</v>
      </c>
      <c r="F2" s="19">
        <v>1809460</v>
      </c>
      <c r="G2" s="19"/>
      <c r="H2" s="17"/>
      <c r="I2" s="17">
        <f>MTAY[[#This Row],[Opening]]+MTAY[[#This Row],[Purchase]]-MTAY[[#This Row],[Payment]]</f>
        <v>1809460</v>
      </c>
      <c r="J2" s="61">
        <f>MTAY[[#This Row],[Balance]]</f>
        <v>1809460</v>
      </c>
    </row>
    <row r="3" spans="1:11" x14ac:dyDescent="0.55000000000000004">
      <c r="A3" s="18">
        <v>44292</v>
      </c>
      <c r="B3" s="16">
        <v>5808</v>
      </c>
      <c r="C3" s="16" t="s">
        <v>6</v>
      </c>
      <c r="D3" s="1" t="s">
        <v>79</v>
      </c>
      <c r="E3" s="44" t="s">
        <v>112</v>
      </c>
      <c r="F3" s="19"/>
      <c r="G3" s="19">
        <v>20000</v>
      </c>
      <c r="H3" s="17"/>
      <c r="I3" s="17">
        <f>MTAY[[#This Row],[Opening]]+MTAY[[#This Row],[Purchase]]-MTAY[[#This Row],[Payment]]</f>
        <v>20000</v>
      </c>
      <c r="J3" s="61">
        <f>J2+MTAY[[#This Row],[Purchase]]-MTAY[[#This Row],[Payment]]</f>
        <v>1829460</v>
      </c>
    </row>
    <row r="4" spans="1:11" x14ac:dyDescent="0.55000000000000004">
      <c r="A4" s="18">
        <v>44296</v>
      </c>
      <c r="B4" s="16"/>
      <c r="C4" s="16" t="s">
        <v>7</v>
      </c>
      <c r="D4" s="1" t="s">
        <v>79</v>
      </c>
      <c r="E4" s="44" t="s">
        <v>125</v>
      </c>
      <c r="F4" s="19"/>
      <c r="G4" s="19"/>
      <c r="H4" s="17">
        <v>740000</v>
      </c>
      <c r="I4" s="17">
        <f>MTAY[[#This Row],[Opening]]+MTAY[[#This Row],[Purchase]]-MTAY[[#This Row],[Payment]]</f>
        <v>-740000</v>
      </c>
      <c r="J4" s="61">
        <f>J3+MTAY[[#This Row],[Purchase]]-MTAY[[#This Row],[Payment]]</f>
        <v>1089460</v>
      </c>
    </row>
    <row r="5" spans="1:11" x14ac:dyDescent="0.55000000000000004">
      <c r="A5" s="18">
        <v>44307</v>
      </c>
      <c r="B5" s="16"/>
      <c r="C5" s="16" t="s">
        <v>7</v>
      </c>
      <c r="D5" s="1" t="s">
        <v>79</v>
      </c>
      <c r="E5" s="44" t="s">
        <v>125</v>
      </c>
      <c r="F5" s="19"/>
      <c r="G5" s="19"/>
      <c r="H5" s="17">
        <v>700000</v>
      </c>
      <c r="I5" s="17">
        <f>MTAY[[#This Row],[Opening]]+MTAY[[#This Row],[Purchase]]-MTAY[[#This Row],[Payment]]</f>
        <v>-700000</v>
      </c>
      <c r="J5" s="61">
        <f>J4+MTAY[[#This Row],[Purchase]]-MTAY[[#This Row],[Payment]]</f>
        <v>389460</v>
      </c>
    </row>
    <row r="6" spans="1:11" x14ac:dyDescent="0.55000000000000004">
      <c r="A6" s="54">
        <v>44307</v>
      </c>
      <c r="B6" s="55">
        <v>5809</v>
      </c>
      <c r="C6" s="55" t="s">
        <v>6</v>
      </c>
      <c r="D6" s="1" t="s">
        <v>79</v>
      </c>
      <c r="E6" s="56" t="s">
        <v>141</v>
      </c>
      <c r="F6" s="53"/>
      <c r="G6" s="53">
        <v>740000</v>
      </c>
      <c r="H6" s="57"/>
      <c r="I6" s="57">
        <f>MTAY[[#This Row],[Opening]]+MTAY[[#This Row],[Purchase]]-MTAY[[#This Row],[Payment]]</f>
        <v>740000</v>
      </c>
      <c r="J6" s="61">
        <f>J5+MTAY[[#This Row],[Purchase]]-MTAY[[#This Row],[Payment]]</f>
        <v>1129460</v>
      </c>
    </row>
    <row r="7" spans="1:11" x14ac:dyDescent="0.55000000000000004">
      <c r="A7" s="54">
        <v>44312</v>
      </c>
      <c r="B7" s="55"/>
      <c r="C7" s="55" t="s">
        <v>7</v>
      </c>
      <c r="D7" s="1" t="s">
        <v>79</v>
      </c>
      <c r="E7" s="44" t="s">
        <v>125</v>
      </c>
      <c r="F7" s="53"/>
      <c r="G7" s="53"/>
      <c r="H7" s="57">
        <v>2000000</v>
      </c>
      <c r="I7" s="57">
        <f>MTAY[[#This Row],[Opening]]+MTAY[[#This Row],[Purchase]]-MTAY[[#This Row],[Payment]]</f>
        <v>-2000000</v>
      </c>
      <c r="J7" s="61">
        <f>J6+MTAY[[#This Row],[Purchase]]-MTAY[[#This Row],[Payment]]</f>
        <v>-870540</v>
      </c>
    </row>
    <row r="8" spans="1:11" x14ac:dyDescent="0.55000000000000004">
      <c r="A8" s="54">
        <v>44312</v>
      </c>
      <c r="B8" s="55">
        <v>5810</v>
      </c>
      <c r="C8" s="55" t="s">
        <v>6</v>
      </c>
      <c r="D8" s="1" t="s">
        <v>79</v>
      </c>
      <c r="E8" s="56" t="s">
        <v>161</v>
      </c>
      <c r="F8" s="53"/>
      <c r="G8" s="53">
        <v>3948750</v>
      </c>
      <c r="H8" s="57"/>
      <c r="I8" s="57">
        <f>MTAY[[#This Row],[Opening]]+MTAY[[#This Row],[Purchase]]-MTAY[[#This Row],[Payment]]</f>
        <v>3948750</v>
      </c>
      <c r="J8" s="61">
        <f>J7+MTAY[[#This Row],[Purchase]]-MTAY[[#This Row],[Payment]]</f>
        <v>3078210</v>
      </c>
    </row>
    <row r="9" spans="1:11" x14ac:dyDescent="0.55000000000000004">
      <c r="A9" s="54">
        <v>44313</v>
      </c>
      <c r="B9" s="55"/>
      <c r="C9" s="55" t="s">
        <v>7</v>
      </c>
      <c r="D9" s="1" t="s">
        <v>79</v>
      </c>
      <c r="E9" s="56" t="s">
        <v>163</v>
      </c>
      <c r="F9" s="53"/>
      <c r="G9" s="53"/>
      <c r="H9" s="57">
        <v>300000</v>
      </c>
      <c r="I9" s="57">
        <f>MTAY[[#This Row],[Opening]]+MTAY[[#This Row],[Purchase]]-MTAY[[#This Row],[Payment]]</f>
        <v>-300000</v>
      </c>
      <c r="J9" s="61">
        <f>J8+MTAY[[#This Row],[Purchase]]-MTAY[[#This Row],[Payment]]</f>
        <v>2778210</v>
      </c>
    </row>
    <row r="10" spans="1:11" x14ac:dyDescent="0.55000000000000004">
      <c r="A10" s="54"/>
      <c r="B10" s="55"/>
      <c r="C10" s="55"/>
      <c r="D10" s="52"/>
      <c r="E10" s="56"/>
      <c r="F10" s="53"/>
      <c r="G10" s="53"/>
      <c r="H10" s="57"/>
      <c r="I10" s="57"/>
    </row>
    <row r="11" spans="1:11" x14ac:dyDescent="0.55000000000000004">
      <c r="A11" s="18"/>
      <c r="B11" s="16"/>
      <c r="C11" s="16"/>
      <c r="F11" s="19"/>
      <c r="G11" s="19"/>
      <c r="H11" s="17"/>
      <c r="I11" s="17"/>
    </row>
    <row r="12" spans="1:11" x14ac:dyDescent="0.55000000000000004">
      <c r="A12" s="18"/>
      <c r="B12" s="16"/>
      <c r="C12" s="16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14"/>
      <c r="F14" s="19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8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5"/>
      <c r="C2" s="16" t="s">
        <v>5</v>
      </c>
      <c r="D2" s="1" t="s">
        <v>80</v>
      </c>
      <c r="E2" s="7" t="s">
        <v>5</v>
      </c>
      <c r="F2" s="19">
        <v>2754773</v>
      </c>
      <c r="G2" s="19"/>
      <c r="H2" s="17"/>
      <c r="I2" s="17">
        <f>NASA[[#This Row],[Opening]]+NASA[[#This Row],[Purchase]]-NASA[[#This Row],[Payment]]</f>
        <v>2754773</v>
      </c>
      <c r="J2" s="61">
        <f>NASA[Balance]</f>
        <v>2754773</v>
      </c>
    </row>
    <row r="3" spans="1:11" x14ac:dyDescent="0.55000000000000004">
      <c r="A3" s="18"/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27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1.28515625" style="7" customWidth="1"/>
    <col min="6" max="6" width="17.5703125" style="8" bestFit="1" customWidth="1"/>
    <col min="7" max="7" width="18.42578125" style="8" customWidth="1"/>
    <col min="8" max="8" width="16.85546875" style="9" customWidth="1"/>
    <col min="9" max="9" width="14.7109375" style="9" bestFit="1" customWidth="1"/>
    <col min="10" max="10" width="18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48</v>
      </c>
      <c r="E2" s="7" t="s">
        <v>5</v>
      </c>
      <c r="F2" s="19">
        <v>5934500</v>
      </c>
      <c r="G2" s="19"/>
      <c r="H2" s="17"/>
      <c r="I2" s="17">
        <f>STL[[#This Row],[Opening]]+STL[[#This Row],[Purchase]]-STL[[#This Row],[Payment]]</f>
        <v>5934500</v>
      </c>
      <c r="J2" s="61">
        <f>STL[[#This Row],[Balance]]</f>
        <v>5934500</v>
      </c>
    </row>
    <row r="3" spans="1:11" x14ac:dyDescent="0.55000000000000004">
      <c r="A3" s="18">
        <v>44297</v>
      </c>
      <c r="B3" s="16">
        <v>42965</v>
      </c>
      <c r="C3" s="16" t="s">
        <v>6</v>
      </c>
      <c r="D3" s="1" t="s">
        <v>48</v>
      </c>
      <c r="E3" s="44" t="s">
        <v>132</v>
      </c>
      <c r="F3" s="19"/>
      <c r="G3" s="19">
        <v>420000</v>
      </c>
      <c r="H3" s="17"/>
      <c r="I3" s="17">
        <f>STL[[#This Row],[Opening]]+STL[[#This Row],[Purchase]]-STL[[#This Row],[Payment]]</f>
        <v>420000</v>
      </c>
      <c r="J3" s="61">
        <f>J2+STL[[#This Row],[Purchase]]-STL[[#This Row],[Payment]]</f>
        <v>6354500</v>
      </c>
    </row>
    <row r="4" spans="1:11" x14ac:dyDescent="0.55000000000000004">
      <c r="A4" s="18">
        <v>44298</v>
      </c>
      <c r="B4" s="16">
        <v>376</v>
      </c>
      <c r="C4" s="16" t="s">
        <v>6</v>
      </c>
      <c r="D4" s="1" t="s">
        <v>48</v>
      </c>
      <c r="E4" s="44" t="s">
        <v>133</v>
      </c>
      <c r="F4" s="19"/>
      <c r="G4" s="19">
        <v>1910000</v>
      </c>
      <c r="H4" s="17"/>
      <c r="I4" s="17">
        <f>STL[[#This Row],[Opening]]+STL[[#This Row],[Purchase]]-STL[[#This Row],[Payment]]</f>
        <v>1910000</v>
      </c>
      <c r="J4" s="61">
        <f>J3+STL[[#This Row],[Purchase]]-STL[[#This Row],[Payment]]</f>
        <v>8264500</v>
      </c>
    </row>
    <row r="5" spans="1:11" x14ac:dyDescent="0.55000000000000004">
      <c r="A5" s="54">
        <v>44299</v>
      </c>
      <c r="B5" s="55"/>
      <c r="C5" s="55" t="s">
        <v>7</v>
      </c>
      <c r="D5" s="1" t="s">
        <v>48</v>
      </c>
      <c r="E5" s="44" t="s">
        <v>157</v>
      </c>
      <c r="F5" s="53"/>
      <c r="G5" s="53"/>
      <c r="H5" s="57">
        <v>634000</v>
      </c>
      <c r="I5" s="57">
        <f>STL[[#This Row],[Opening]]+STL[[#This Row],[Purchase]]-STL[[#This Row],[Payment]]</f>
        <v>-634000</v>
      </c>
      <c r="J5" s="61">
        <f>J4+STL[[#This Row],[Purchase]]-STL[[#This Row],[Payment]]</f>
        <v>7630500</v>
      </c>
    </row>
    <row r="6" spans="1:11" x14ac:dyDescent="0.55000000000000004">
      <c r="A6" s="18">
        <v>44305</v>
      </c>
      <c r="B6" s="16">
        <v>610</v>
      </c>
      <c r="C6" s="16" t="s">
        <v>7</v>
      </c>
      <c r="D6" s="1" t="s">
        <v>48</v>
      </c>
      <c r="E6" s="44" t="s">
        <v>125</v>
      </c>
      <c r="F6" s="19"/>
      <c r="G6" s="19"/>
      <c r="H6" s="17">
        <v>2500000</v>
      </c>
      <c r="I6" s="17">
        <f>STL[[#This Row],[Opening]]+STL[[#This Row],[Purchase]]-STL[[#This Row],[Payment]]</f>
        <v>-2500000</v>
      </c>
      <c r="J6" s="61">
        <f>J5+STL[[#This Row],[Purchase]]-STL[[#This Row],[Payment]]</f>
        <v>5130500</v>
      </c>
    </row>
    <row r="7" spans="1:11" x14ac:dyDescent="0.55000000000000004">
      <c r="A7" s="18">
        <v>44305</v>
      </c>
      <c r="B7" s="16">
        <v>42972</v>
      </c>
      <c r="C7" s="16" t="s">
        <v>6</v>
      </c>
      <c r="D7" s="1" t="s">
        <v>48</v>
      </c>
      <c r="E7" s="44" t="s">
        <v>132</v>
      </c>
      <c r="F7" s="19"/>
      <c r="G7" s="19">
        <v>420000</v>
      </c>
      <c r="H7" s="17"/>
      <c r="I7" s="17">
        <f>STL[[#This Row],[Opening]]+STL[[#This Row],[Purchase]]-STL[[#This Row],[Payment]]</f>
        <v>420000</v>
      </c>
      <c r="J7" s="61">
        <f>J6+STL[[#This Row],[Purchase]]-STL[[#This Row],[Payment]]</f>
        <v>5550500</v>
      </c>
    </row>
    <row r="8" spans="1:11" x14ac:dyDescent="0.55000000000000004">
      <c r="A8" s="54">
        <v>44308</v>
      </c>
      <c r="B8" s="55">
        <v>40125</v>
      </c>
      <c r="C8" s="55" t="s">
        <v>6</v>
      </c>
      <c r="D8" s="1" t="s">
        <v>48</v>
      </c>
      <c r="E8" s="44" t="s">
        <v>132</v>
      </c>
      <c r="F8" s="53"/>
      <c r="G8" s="53">
        <v>840000</v>
      </c>
      <c r="H8" s="57"/>
      <c r="I8" s="57">
        <f>STL[[#This Row],[Opening]]+STL[[#This Row],[Purchase]]-STL[[#This Row],[Payment]]</f>
        <v>840000</v>
      </c>
      <c r="J8" s="61">
        <f>J7+STL[[#This Row],[Purchase]]-STL[[#This Row],[Payment]]</f>
        <v>6390500</v>
      </c>
    </row>
    <row r="9" spans="1:11" x14ac:dyDescent="0.55000000000000004">
      <c r="A9" s="54">
        <v>44308</v>
      </c>
      <c r="B9" s="55">
        <v>40126</v>
      </c>
      <c r="C9" s="55" t="s">
        <v>6</v>
      </c>
      <c r="D9" s="1" t="s">
        <v>48</v>
      </c>
      <c r="E9" s="56" t="s">
        <v>153</v>
      </c>
      <c r="F9" s="53"/>
      <c r="G9" s="53">
        <v>192000</v>
      </c>
      <c r="H9" s="57"/>
      <c r="I9" s="57">
        <f>STL[[#This Row],[Opening]]+STL[[#This Row],[Purchase]]-STL[[#This Row],[Payment]]</f>
        <v>192000</v>
      </c>
      <c r="J9" s="61">
        <f>J8+STL[[#This Row],[Purchase]]-STL[[#This Row],[Payment]]</f>
        <v>6582500</v>
      </c>
    </row>
    <row r="10" spans="1:11" x14ac:dyDescent="0.55000000000000004">
      <c r="A10" s="54">
        <v>44315</v>
      </c>
      <c r="B10" s="55">
        <v>672</v>
      </c>
      <c r="C10" s="55" t="s">
        <v>7</v>
      </c>
      <c r="D10" s="1" t="s">
        <v>48</v>
      </c>
      <c r="E10" s="44" t="s">
        <v>125</v>
      </c>
      <c r="F10" s="53"/>
      <c r="G10" s="53"/>
      <c r="H10" s="57">
        <v>1500000</v>
      </c>
      <c r="I10" s="57">
        <f>STL[[#This Row],[Opening]]+STL[[#This Row],[Purchase]]-STL[[#This Row],[Payment]]</f>
        <v>-1500000</v>
      </c>
      <c r="J10" s="61">
        <f>J9+STL[[#This Row],[Purchase]]-STL[[#This Row],[Payment]]</f>
        <v>5082500</v>
      </c>
    </row>
    <row r="11" spans="1:11" x14ac:dyDescent="0.55000000000000004">
      <c r="A11" s="54">
        <v>44315</v>
      </c>
      <c r="B11" s="55">
        <v>647</v>
      </c>
      <c r="C11" s="55" t="s">
        <v>6</v>
      </c>
      <c r="D11" s="1" t="s">
        <v>48</v>
      </c>
      <c r="E11" s="44" t="s">
        <v>132</v>
      </c>
      <c r="F11" s="53"/>
      <c r="G11" s="53">
        <v>420000</v>
      </c>
      <c r="H11" s="57"/>
      <c r="I11" s="57">
        <f>STL[[#This Row],[Opening]]+STL[[#This Row],[Purchase]]-STL[[#This Row],[Payment]]</f>
        <v>420000</v>
      </c>
      <c r="J11" s="61">
        <f>J10+STL[[#This Row],[Purchase]]-STL[[#This Row],[Payment]]</f>
        <v>5502500</v>
      </c>
    </row>
    <row r="12" spans="1:11" x14ac:dyDescent="0.55000000000000004">
      <c r="A12" s="47"/>
      <c r="B12" s="48"/>
      <c r="C12" s="48"/>
      <c r="D12" s="49"/>
      <c r="E12" s="44"/>
      <c r="F12" s="50"/>
      <c r="G12" s="50"/>
      <c r="H12" s="51"/>
      <c r="I12" s="51"/>
    </row>
    <row r="13" spans="1:11" x14ac:dyDescent="0.55000000000000004">
      <c r="A13" s="18"/>
      <c r="B13" s="16"/>
      <c r="C13" s="16"/>
      <c r="F13" s="19"/>
      <c r="G13" s="19"/>
      <c r="H13" s="17"/>
      <c r="I13" s="17"/>
    </row>
    <row r="14" spans="1:11" x14ac:dyDescent="0.55000000000000004">
      <c r="A14" s="18"/>
      <c r="B14" s="16"/>
      <c r="C14" s="16"/>
      <c r="F14" s="19"/>
      <c r="G14" s="19"/>
      <c r="H14" s="17"/>
      <c r="I14" s="17"/>
      <c r="K14" s="1"/>
    </row>
    <row r="15" spans="1:11" x14ac:dyDescent="0.55000000000000004">
      <c r="A15" s="18"/>
      <c r="B15" s="16"/>
      <c r="C15" s="16"/>
      <c r="F15" s="19"/>
      <c r="G15" s="19"/>
      <c r="H15" s="17"/>
      <c r="I15" s="17"/>
      <c r="K15" s="1"/>
    </row>
    <row r="16" spans="1:11" x14ac:dyDescent="0.55000000000000004">
      <c r="C16" s="16"/>
      <c r="K16" s="1"/>
    </row>
    <row r="17" spans="2:11" x14ac:dyDescent="0.55000000000000004">
      <c r="C17" s="11"/>
      <c r="K17" s="1"/>
    </row>
    <row r="18" spans="2:11" x14ac:dyDescent="0.55000000000000004">
      <c r="C18" s="11"/>
      <c r="K18" s="1"/>
    </row>
    <row r="19" spans="2:11" x14ac:dyDescent="0.55000000000000004">
      <c r="C19" s="11"/>
      <c r="K19" s="1"/>
    </row>
    <row r="20" spans="2:11" x14ac:dyDescent="0.55000000000000004">
      <c r="B20" s="40"/>
      <c r="C20" s="40"/>
      <c r="F20" s="41"/>
      <c r="G20" s="41"/>
      <c r="H20" s="42"/>
      <c r="I20" s="42"/>
      <c r="K20" s="1"/>
    </row>
    <row r="21" spans="2:11" x14ac:dyDescent="0.55000000000000004">
      <c r="C21" s="11"/>
      <c r="D21" s="27"/>
      <c r="K21" s="1"/>
    </row>
    <row r="22" spans="2:11" x14ac:dyDescent="0.55000000000000004">
      <c r="C22" s="11"/>
      <c r="D22" s="27"/>
      <c r="K22" s="1"/>
    </row>
    <row r="23" spans="2:11" x14ac:dyDescent="0.55000000000000004">
      <c r="C23" s="11"/>
      <c r="D23" s="27"/>
      <c r="K23" s="1"/>
    </row>
    <row r="24" spans="2:11" x14ac:dyDescent="0.55000000000000004">
      <c r="C24" s="11"/>
      <c r="D24" s="27"/>
    </row>
    <row r="25" spans="2:11" x14ac:dyDescent="0.55000000000000004">
      <c r="C25" s="11"/>
      <c r="D25" s="27"/>
    </row>
    <row r="26" spans="2:11" x14ac:dyDescent="0.55000000000000004">
      <c r="C26" s="11"/>
      <c r="D26" s="27"/>
    </row>
    <row r="27" spans="2:11" x14ac:dyDescent="0.55000000000000004">
      <c r="C27" s="11"/>
      <c r="D27" s="2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1"/>
  <sheetViews>
    <sheetView workbookViewId="0">
      <selection activeCell="J4" sqref="J4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18.140625" style="7" bestFit="1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9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50</v>
      </c>
      <c r="E2" s="7" t="s">
        <v>5</v>
      </c>
      <c r="F2" s="19"/>
      <c r="G2" s="19"/>
      <c r="H2" s="17"/>
      <c r="I2" s="17">
        <f>SYS[[#This Row],[Opening]]+SYS[[#This Row],[Purchase]]-SYS[[#This Row],[Payment]]</f>
        <v>0</v>
      </c>
      <c r="J2" s="61" t="e">
        <f>J1+SYS[[#This Row],[Purchase]]-SYS[[#This Row],[Payment]]</f>
        <v>#VALUE!</v>
      </c>
    </row>
    <row r="3" spans="1:11" x14ac:dyDescent="0.55000000000000004">
      <c r="A3" s="18">
        <v>44289</v>
      </c>
      <c r="B3" s="16">
        <v>11863</v>
      </c>
      <c r="C3" s="16" t="s">
        <v>6</v>
      </c>
      <c r="D3" s="1" t="s">
        <v>50</v>
      </c>
      <c r="E3" s="44" t="s">
        <v>100</v>
      </c>
      <c r="F3" s="19"/>
      <c r="G3" s="19">
        <v>117000.01</v>
      </c>
      <c r="H3" s="17"/>
      <c r="I3" s="17">
        <f>SYS[[#This Row],[Opening]]+SYS[[#This Row],[Purchase]]-SYS[[#This Row],[Payment]]</f>
        <v>117000.01</v>
      </c>
      <c r="J3" s="61" t="e">
        <f>J2+SYS[[#This Row],[Purchase]]-SYS[[#This Row],[Payment]]</f>
        <v>#VALUE!</v>
      </c>
    </row>
    <row r="4" spans="1:11" x14ac:dyDescent="0.55000000000000004">
      <c r="A4" s="18"/>
      <c r="B4" s="16"/>
      <c r="C4" s="16"/>
      <c r="F4" s="19"/>
      <c r="G4" s="19"/>
      <c r="H4" s="17"/>
      <c r="I4" s="17"/>
    </row>
    <row r="5" spans="1:11" x14ac:dyDescent="0.55000000000000004">
      <c r="A5" s="18"/>
      <c r="B5" s="16"/>
      <c r="C5" s="16"/>
      <c r="F5" s="19"/>
      <c r="G5" s="19"/>
      <c r="H5" s="17"/>
      <c r="I5" s="17"/>
    </row>
    <row r="6" spans="1:11" x14ac:dyDescent="0.55000000000000004">
      <c r="A6" s="18"/>
      <c r="B6" s="16"/>
      <c r="C6" s="16"/>
      <c r="E6" s="14"/>
      <c r="F6" s="19"/>
      <c r="G6" s="19"/>
      <c r="H6" s="17"/>
      <c r="I6" s="17"/>
    </row>
    <row r="7" spans="1:11" x14ac:dyDescent="0.55000000000000004">
      <c r="A7" s="18"/>
      <c r="B7" s="16"/>
      <c r="C7" s="16"/>
      <c r="E7" s="14"/>
      <c r="F7" s="19"/>
      <c r="G7" s="19"/>
      <c r="H7" s="17"/>
      <c r="I7" s="1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5703125" style="1" customWidth="1"/>
    <col min="4" max="4" width="19.140625" style="1" customWidth="1"/>
    <col min="5" max="5" width="30.140625" style="7" customWidth="1"/>
    <col min="6" max="6" width="13" style="8" customWidth="1"/>
    <col min="7" max="7" width="18.42578125" style="8" customWidth="1"/>
    <col min="8" max="8" width="17.42578125" style="9" customWidth="1"/>
    <col min="9" max="9" width="15.85546875" style="9" customWidth="1"/>
    <col min="10" max="10" width="18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65</v>
      </c>
      <c r="E2" s="7" t="s">
        <v>5</v>
      </c>
      <c r="F2" s="19"/>
      <c r="G2" s="19"/>
      <c r="H2" s="17"/>
      <c r="I2" s="17">
        <f>SUPER[[#This Row],[Opening]]+SUPER[[#This Row],[Purchase]]-SUPER[[#This Row],[Payment]]</f>
        <v>0</v>
      </c>
      <c r="J2" s="61">
        <f>SUPER[[#This Row],[Balance]]</f>
        <v>0</v>
      </c>
    </row>
    <row r="3" spans="1:11" x14ac:dyDescent="0.55000000000000004">
      <c r="A3" s="18">
        <v>44288</v>
      </c>
      <c r="B3" s="16">
        <v>29854</v>
      </c>
      <c r="C3" s="16" t="s">
        <v>6</v>
      </c>
      <c r="D3" s="1" t="s">
        <v>65</v>
      </c>
      <c r="E3" s="44" t="s">
        <v>109</v>
      </c>
      <c r="F3" s="19"/>
      <c r="G3" s="19">
        <v>269400</v>
      </c>
      <c r="H3" s="17"/>
      <c r="I3" s="17">
        <f>SUPER[[#This Row],[Opening]]+SUPER[[#This Row],[Purchase]]-SUPER[[#This Row],[Payment]]</f>
        <v>269400</v>
      </c>
      <c r="J3" s="61">
        <f>J2+SUPER[[#This Row],[Purchase]]-SUPER[[#This Row],[Payment]]</f>
        <v>269400</v>
      </c>
    </row>
    <row r="4" spans="1:11" x14ac:dyDescent="0.55000000000000004">
      <c r="A4" s="18">
        <v>44292</v>
      </c>
      <c r="B4" s="16">
        <v>3537</v>
      </c>
      <c r="C4" s="16" t="s">
        <v>7</v>
      </c>
      <c r="D4" s="1" t="s">
        <v>65</v>
      </c>
      <c r="E4" s="44" t="s">
        <v>110</v>
      </c>
      <c r="F4" s="19"/>
      <c r="G4" s="19"/>
      <c r="H4" s="17">
        <v>269400</v>
      </c>
      <c r="I4" s="17">
        <f>SUPER[[#This Row],[Opening]]+SUPER[[#This Row],[Purchase]]-SUPER[[#This Row],[Payment]]</f>
        <v>-269400</v>
      </c>
      <c r="J4" s="61">
        <f>J3+SUPER[[#This Row],[Purchase]]-SUPER[[#This Row],[Payment]]</f>
        <v>0</v>
      </c>
    </row>
    <row r="5" spans="1:11" x14ac:dyDescent="0.55000000000000004">
      <c r="A5" s="18">
        <v>44308</v>
      </c>
      <c r="B5" s="16">
        <v>29861</v>
      </c>
      <c r="C5" s="16" t="s">
        <v>6</v>
      </c>
      <c r="D5" s="1" t="s">
        <v>65</v>
      </c>
      <c r="E5" s="44" t="s">
        <v>150</v>
      </c>
      <c r="F5" s="19"/>
      <c r="G5" s="19">
        <v>165640</v>
      </c>
      <c r="H5" s="17"/>
      <c r="I5" s="17">
        <f>SUPER[[#This Row],[Opening]]+SUPER[[#This Row],[Purchase]]-SUPER[[#This Row],[Payment]]</f>
        <v>165640</v>
      </c>
      <c r="J5" s="61">
        <f>J4+SUPER[[#This Row],[Purchase]]-SUPER[[#This Row],[Payment]]</f>
        <v>165640</v>
      </c>
    </row>
    <row r="6" spans="1:11" x14ac:dyDescent="0.55000000000000004">
      <c r="A6" s="54">
        <v>44308</v>
      </c>
      <c r="B6" s="16">
        <v>29861</v>
      </c>
      <c r="C6" s="55" t="s">
        <v>6</v>
      </c>
      <c r="D6" s="1" t="s">
        <v>65</v>
      </c>
      <c r="E6" s="56" t="s">
        <v>151</v>
      </c>
      <c r="F6" s="53"/>
      <c r="G6" s="53">
        <v>18500</v>
      </c>
      <c r="H6" s="57"/>
      <c r="I6" s="57">
        <f>SUPER[[#This Row],[Opening]]+SUPER[[#This Row],[Purchase]]-SUPER[[#This Row],[Payment]]</f>
        <v>18500</v>
      </c>
      <c r="J6" s="61">
        <f>J5+SUPER[[#This Row],[Purchase]]-SUPER[[#This Row],[Payment]]</f>
        <v>184140</v>
      </c>
    </row>
    <row r="7" spans="1:11" x14ac:dyDescent="0.55000000000000004">
      <c r="A7" s="54">
        <v>44312</v>
      </c>
      <c r="B7" s="55"/>
      <c r="C7" s="55" t="s">
        <v>7</v>
      </c>
      <c r="D7" s="1" t="s">
        <v>65</v>
      </c>
      <c r="E7" s="44" t="s">
        <v>110</v>
      </c>
      <c r="F7" s="53"/>
      <c r="G7" s="53"/>
      <c r="H7" s="57">
        <v>184140</v>
      </c>
      <c r="I7" s="57">
        <f>SUPER[[#This Row],[Opening]]+SUPER[[#This Row],[Purchase]]-SUPER[[#This Row],[Payment]]</f>
        <v>-184140</v>
      </c>
      <c r="J7" s="61">
        <f>J6+SUPER[[#This Row],[Purchase]]-SUPER[[#This Row],[Payment]]</f>
        <v>0</v>
      </c>
    </row>
    <row r="8" spans="1:11" x14ac:dyDescent="0.55000000000000004">
      <c r="A8" s="54">
        <v>44312</v>
      </c>
      <c r="B8" s="55">
        <v>29862</v>
      </c>
      <c r="C8" s="55" t="s">
        <v>6</v>
      </c>
      <c r="D8" s="1" t="s">
        <v>65</v>
      </c>
      <c r="E8" s="56">
        <v>6207</v>
      </c>
      <c r="F8" s="53"/>
      <c r="G8" s="53">
        <v>190950</v>
      </c>
      <c r="H8" s="57"/>
      <c r="I8" s="57">
        <f>SUPER[[#This Row],[Opening]]+SUPER[[#This Row],[Purchase]]-SUPER[[#This Row],[Payment]]</f>
        <v>190950</v>
      </c>
      <c r="J8" s="61">
        <f>J7+SUPER[[#This Row],[Purchase]]-SUPER[[#This Row],[Payment]]</f>
        <v>190950</v>
      </c>
    </row>
    <row r="9" spans="1:11" x14ac:dyDescent="0.55000000000000004">
      <c r="A9" s="54"/>
      <c r="B9" s="55"/>
      <c r="C9" s="55"/>
      <c r="D9" s="52"/>
      <c r="E9" s="56"/>
      <c r="F9" s="53"/>
      <c r="G9" s="53"/>
      <c r="H9" s="57"/>
      <c r="I9" s="5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C14" s="11"/>
    </row>
    <row r="15" spans="1:11" x14ac:dyDescent="0.55000000000000004">
      <c r="C15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8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5"/>
      <c r="C2" s="16" t="s">
        <v>5</v>
      </c>
      <c r="D2" s="1" t="s">
        <v>81</v>
      </c>
      <c r="E2" s="7" t="s">
        <v>5</v>
      </c>
      <c r="F2" s="19">
        <v>1145500</v>
      </c>
      <c r="G2" s="19"/>
      <c r="H2" s="17"/>
      <c r="I2" s="17">
        <f>TSLW[[#This Row],[Opening]]+TSLW[[#This Row],[Purchase]]-TSLW[[#This Row],[Payment]]</f>
        <v>1145500</v>
      </c>
      <c r="J2" s="61">
        <f>TSLW[Balance]</f>
        <v>1145500</v>
      </c>
    </row>
    <row r="3" spans="1:11" x14ac:dyDescent="0.55000000000000004">
      <c r="A3" s="18"/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8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5"/>
      <c r="C2" s="16" t="s">
        <v>5</v>
      </c>
      <c r="D2" s="1" t="s">
        <v>82</v>
      </c>
      <c r="E2" s="7" t="s">
        <v>5</v>
      </c>
      <c r="F2" s="19">
        <v>143000</v>
      </c>
      <c r="G2" s="19"/>
      <c r="H2" s="17"/>
      <c r="I2" s="17">
        <f>UMG[[#This Row],[Opening]]+UMG[[#This Row],[Purchase]]-UMG[[#This Row],[Payment]]</f>
        <v>143000</v>
      </c>
      <c r="J2" s="61">
        <f>UMG[Balance]</f>
        <v>143000</v>
      </c>
    </row>
    <row r="3" spans="1:11" x14ac:dyDescent="0.55000000000000004">
      <c r="A3" s="47" t="s">
        <v>171</v>
      </c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23"/>
  <sheetViews>
    <sheetView topLeftCell="C8" workbookViewId="0">
      <selection activeCell="C17" sqref="C17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4.28515625" style="1" customWidth="1"/>
    <col min="4" max="4" width="24.42578125" style="1" bestFit="1" customWidth="1"/>
    <col min="5" max="5" width="39.140625" style="7" customWidth="1"/>
    <col min="6" max="6" width="14.5703125" style="8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16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61" t="s">
        <v>170</v>
      </c>
      <c r="K1" s="8"/>
    </row>
    <row r="2" spans="1:11" x14ac:dyDescent="0.55000000000000004">
      <c r="A2" s="18">
        <v>44287</v>
      </c>
      <c r="B2" s="16"/>
      <c r="C2" s="16" t="s">
        <v>5</v>
      </c>
      <c r="D2" s="1" t="s">
        <v>56</v>
      </c>
      <c r="E2" s="7" t="s">
        <v>5</v>
      </c>
      <c r="F2" s="19">
        <v>1441917</v>
      </c>
      <c r="G2" s="19"/>
      <c r="H2" s="17"/>
      <c r="I2" s="17">
        <f>ZAN[[#This Row],[Opening]]+ZAN[[#This Row],[Purchase]]-ZAN[[#This Row],[Payment]]</f>
        <v>1441917</v>
      </c>
      <c r="J2" s="61">
        <f>ZAN[[#This Row],[Balance]]</f>
        <v>1441917</v>
      </c>
    </row>
    <row r="3" spans="1:11" x14ac:dyDescent="0.55000000000000004">
      <c r="A3" s="18">
        <v>44288</v>
      </c>
      <c r="B3" s="16"/>
      <c r="C3" s="16" t="s">
        <v>6</v>
      </c>
      <c r="D3" s="1" t="s">
        <v>56</v>
      </c>
      <c r="E3" s="44" t="s">
        <v>102</v>
      </c>
      <c r="F3" s="19"/>
      <c r="G3" s="19">
        <v>118044</v>
      </c>
      <c r="H3" s="17"/>
      <c r="I3" s="17">
        <f>ZAN[[#This Row],[Opening]]+ZAN[[#This Row],[Purchase]]-ZAN[[#This Row],[Payment]]</f>
        <v>118044</v>
      </c>
      <c r="J3" s="61">
        <f>J2+ZAN[[#This Row],[Purchase]]-ZAN[[#This Row],[Payment]]</f>
        <v>1559961</v>
      </c>
    </row>
    <row r="4" spans="1:11" x14ac:dyDescent="0.55000000000000004">
      <c r="A4" s="18">
        <v>44288</v>
      </c>
      <c r="B4" s="16">
        <v>263211</v>
      </c>
      <c r="C4" s="16" t="s">
        <v>6</v>
      </c>
      <c r="D4" s="1" t="s">
        <v>56</v>
      </c>
      <c r="E4" s="44" t="s">
        <v>103</v>
      </c>
      <c r="F4" s="19"/>
      <c r="G4" s="19">
        <v>179165</v>
      </c>
      <c r="H4" s="17"/>
      <c r="I4" s="17">
        <f>ZAN[[#This Row],[Opening]]+ZAN[[#This Row],[Purchase]]-ZAN[[#This Row],[Payment]]</f>
        <v>179165</v>
      </c>
      <c r="J4" s="61">
        <f>J3+ZAN[[#This Row],[Purchase]]-ZAN[[#This Row],[Payment]]</f>
        <v>1739126</v>
      </c>
    </row>
    <row r="5" spans="1:11" x14ac:dyDescent="0.55000000000000004">
      <c r="A5" s="18">
        <v>44292</v>
      </c>
      <c r="B5" s="16">
        <v>259211</v>
      </c>
      <c r="C5" s="16" t="s">
        <v>6</v>
      </c>
      <c r="D5" s="1" t="s">
        <v>56</v>
      </c>
      <c r="E5" s="44" t="s">
        <v>118</v>
      </c>
      <c r="F5" s="19"/>
      <c r="G5" s="19">
        <v>51520</v>
      </c>
      <c r="H5" s="17"/>
      <c r="I5" s="17">
        <f>ZAN[[#This Row],[Opening]]+ZAN[[#This Row],[Purchase]]-ZAN[[#This Row],[Payment]]</f>
        <v>51520</v>
      </c>
      <c r="J5" s="61">
        <f>J4+ZAN[[#This Row],[Purchase]]-ZAN[[#This Row],[Payment]]</f>
        <v>1790646</v>
      </c>
    </row>
    <row r="6" spans="1:11" x14ac:dyDescent="0.55000000000000004">
      <c r="A6" s="47">
        <v>44295</v>
      </c>
      <c r="B6" s="48">
        <v>125211</v>
      </c>
      <c r="C6" s="48" t="s">
        <v>7</v>
      </c>
      <c r="D6" s="1" t="s">
        <v>56</v>
      </c>
      <c r="E6" s="44" t="s">
        <v>125</v>
      </c>
      <c r="F6" s="50"/>
      <c r="G6" s="50"/>
      <c r="H6" s="51">
        <v>1000000</v>
      </c>
      <c r="I6" s="51">
        <f>ZAN[[#This Row],[Opening]]+ZAN[[#This Row],[Purchase]]-ZAN[[#This Row],[Payment]]</f>
        <v>-1000000</v>
      </c>
      <c r="J6" s="61">
        <f>J5+ZAN[[#This Row],[Purchase]]-ZAN[[#This Row],[Payment]]</f>
        <v>790646</v>
      </c>
    </row>
    <row r="7" spans="1:11" x14ac:dyDescent="0.55000000000000004">
      <c r="A7" s="47">
        <v>44295</v>
      </c>
      <c r="B7" s="48">
        <v>277211</v>
      </c>
      <c r="C7" s="48" t="s">
        <v>6</v>
      </c>
      <c r="D7" s="1" t="s">
        <v>56</v>
      </c>
      <c r="E7" s="44" t="s">
        <v>126</v>
      </c>
      <c r="F7" s="50"/>
      <c r="G7" s="50">
        <v>188818</v>
      </c>
      <c r="H7" s="51"/>
      <c r="I7" s="51">
        <f>ZAN[[#This Row],[Opening]]+ZAN[[#This Row],[Purchase]]-ZAN[[#This Row],[Payment]]</f>
        <v>188818</v>
      </c>
      <c r="J7" s="61">
        <f>J6+ZAN[[#This Row],[Purchase]]-ZAN[[#This Row],[Payment]]</f>
        <v>979464</v>
      </c>
    </row>
    <row r="8" spans="1:11" x14ac:dyDescent="0.55000000000000004">
      <c r="A8" s="47">
        <v>44295</v>
      </c>
      <c r="B8" s="48">
        <v>283211</v>
      </c>
      <c r="C8" s="48" t="s">
        <v>6</v>
      </c>
      <c r="D8" s="1" t="s">
        <v>56</v>
      </c>
      <c r="E8" s="44" t="s">
        <v>127</v>
      </c>
      <c r="F8" s="50"/>
      <c r="G8" s="50">
        <v>116029</v>
      </c>
      <c r="H8" s="51"/>
      <c r="I8" s="51">
        <f>ZAN[[#This Row],[Opening]]+ZAN[[#This Row],[Purchase]]-ZAN[[#This Row],[Payment]]</f>
        <v>116029</v>
      </c>
      <c r="J8" s="61">
        <f>J7+ZAN[[#This Row],[Purchase]]-ZAN[[#This Row],[Payment]]</f>
        <v>1095493</v>
      </c>
    </row>
    <row r="9" spans="1:11" x14ac:dyDescent="0.55000000000000004">
      <c r="A9" s="47">
        <v>44305</v>
      </c>
      <c r="B9" s="48">
        <v>128211</v>
      </c>
      <c r="C9" s="48" t="s">
        <v>7</v>
      </c>
      <c r="D9" s="1" t="s">
        <v>56</v>
      </c>
      <c r="E9" s="44" t="s">
        <v>125</v>
      </c>
      <c r="F9" s="50"/>
      <c r="G9" s="50"/>
      <c r="H9" s="51">
        <v>500000</v>
      </c>
      <c r="I9" s="51">
        <f>ZAN[[#This Row],[Opening]]+ZAN[[#This Row],[Purchase]]-ZAN[[#This Row],[Payment]]</f>
        <v>-500000</v>
      </c>
      <c r="J9" s="61">
        <f>J8+ZAN[[#This Row],[Purchase]]-ZAN[[#This Row],[Payment]]</f>
        <v>595493</v>
      </c>
    </row>
    <row r="10" spans="1:11" x14ac:dyDescent="0.55000000000000004">
      <c r="A10" s="47">
        <v>44305</v>
      </c>
      <c r="B10" s="48">
        <v>300211</v>
      </c>
      <c r="C10" s="48" t="s">
        <v>6</v>
      </c>
      <c r="D10" s="1" t="s">
        <v>56</v>
      </c>
      <c r="E10" s="44" t="s">
        <v>137</v>
      </c>
      <c r="F10" s="50"/>
      <c r="G10" s="50">
        <v>373630</v>
      </c>
      <c r="H10" s="51"/>
      <c r="I10" s="51">
        <f>ZAN[[#This Row],[Opening]]+ZAN[[#This Row],[Purchase]]-ZAN[[#This Row],[Payment]]</f>
        <v>373630</v>
      </c>
      <c r="J10" s="61">
        <f>J9+ZAN[[#This Row],[Purchase]]-ZAN[[#This Row],[Payment]]</f>
        <v>969123</v>
      </c>
    </row>
    <row r="11" spans="1:11" x14ac:dyDescent="0.55000000000000004">
      <c r="A11" s="54">
        <v>44307</v>
      </c>
      <c r="B11" s="55">
        <v>307211</v>
      </c>
      <c r="C11" s="48" t="s">
        <v>6</v>
      </c>
      <c r="D11" s="1" t="s">
        <v>56</v>
      </c>
      <c r="E11" s="56" t="s">
        <v>142</v>
      </c>
      <c r="F11" s="53"/>
      <c r="G11" s="53">
        <v>217311</v>
      </c>
      <c r="H11" s="57"/>
      <c r="I11" s="57">
        <f>ZAN[[#This Row],[Opening]]+ZAN[[#This Row],[Purchase]]-ZAN[[#This Row],[Payment]]</f>
        <v>217311</v>
      </c>
      <c r="J11" s="61">
        <f>J10+ZAN[[#This Row],[Purchase]]-ZAN[[#This Row],[Payment]]</f>
        <v>1186434</v>
      </c>
    </row>
    <row r="12" spans="1:11" x14ac:dyDescent="0.55000000000000004">
      <c r="A12" s="54">
        <v>44309</v>
      </c>
      <c r="B12" s="55">
        <v>315211</v>
      </c>
      <c r="C12" s="55" t="s">
        <v>6</v>
      </c>
      <c r="D12" s="1" t="s">
        <v>56</v>
      </c>
      <c r="E12" s="56" t="s">
        <v>155</v>
      </c>
      <c r="F12" s="53"/>
      <c r="G12" s="53">
        <v>239450</v>
      </c>
      <c r="H12" s="57"/>
      <c r="I12" s="57">
        <f>ZAN[[#This Row],[Opening]]+ZAN[[#This Row],[Purchase]]-ZAN[[#This Row],[Payment]]</f>
        <v>239450</v>
      </c>
      <c r="J12" s="61">
        <f>J11+ZAN[[#This Row],[Purchase]]-ZAN[[#This Row],[Payment]]</f>
        <v>1425884</v>
      </c>
    </row>
    <row r="13" spans="1:11" x14ac:dyDescent="0.55000000000000004">
      <c r="A13" s="54">
        <v>44309</v>
      </c>
      <c r="B13" s="55">
        <v>318211</v>
      </c>
      <c r="C13" s="55" t="s">
        <v>6</v>
      </c>
      <c r="D13" s="1" t="s">
        <v>56</v>
      </c>
      <c r="E13" s="56" t="s">
        <v>156</v>
      </c>
      <c r="F13" s="53"/>
      <c r="G13" s="53">
        <v>153821</v>
      </c>
      <c r="H13" s="57"/>
      <c r="I13" s="57">
        <f>ZAN[[#This Row],[Opening]]+ZAN[[#This Row],[Purchase]]-ZAN[[#This Row],[Payment]]</f>
        <v>153821</v>
      </c>
      <c r="J13" s="61">
        <f>J12+ZAN[[#This Row],[Purchase]]-ZAN[[#This Row],[Payment]]</f>
        <v>1579705</v>
      </c>
    </row>
    <row r="14" spans="1:11" x14ac:dyDescent="0.55000000000000004">
      <c r="A14" s="54">
        <v>44312</v>
      </c>
      <c r="B14" s="55">
        <v>331211</v>
      </c>
      <c r="C14" s="55" t="s">
        <v>6</v>
      </c>
      <c r="D14" s="1" t="s">
        <v>56</v>
      </c>
      <c r="E14" s="56" t="s">
        <v>162</v>
      </c>
      <c r="F14" s="53"/>
      <c r="G14" s="53">
        <v>143560</v>
      </c>
      <c r="H14" s="57"/>
      <c r="I14" s="57">
        <f>ZAN[[#This Row],[Opening]]+ZAN[[#This Row],[Purchase]]-ZAN[[#This Row],[Payment]]</f>
        <v>143560</v>
      </c>
      <c r="J14" s="61">
        <f>J13+ZAN[[#This Row],[Purchase]]-ZAN[[#This Row],[Payment]]</f>
        <v>1723265</v>
      </c>
    </row>
    <row r="15" spans="1:11" x14ac:dyDescent="0.55000000000000004">
      <c r="A15" s="54">
        <v>44314</v>
      </c>
      <c r="B15" s="55">
        <v>146211</v>
      </c>
      <c r="C15" s="55" t="s">
        <v>7</v>
      </c>
      <c r="D15" s="43" t="s">
        <v>56</v>
      </c>
      <c r="E15" s="44" t="s">
        <v>125</v>
      </c>
      <c r="F15" s="53"/>
      <c r="G15" s="53"/>
      <c r="H15" s="57">
        <v>500000</v>
      </c>
      <c r="I15" s="57">
        <f>ZAN[[#This Row],[Opening]]+ZAN[[#This Row],[Purchase]]-ZAN[[#This Row],[Payment]]</f>
        <v>-500000</v>
      </c>
      <c r="J15" s="61">
        <f>J14+ZAN[[#This Row],[Purchase]]-ZAN[[#This Row],[Payment]]</f>
        <v>1223265</v>
      </c>
    </row>
    <row r="16" spans="1:11" x14ac:dyDescent="0.55000000000000004">
      <c r="A16" s="47">
        <v>44314</v>
      </c>
      <c r="B16" s="48">
        <v>364211</v>
      </c>
      <c r="C16" s="48" t="s">
        <v>6</v>
      </c>
      <c r="D16" s="43" t="s">
        <v>56</v>
      </c>
      <c r="E16" s="44" t="s">
        <v>166</v>
      </c>
      <c r="F16" s="50"/>
      <c r="G16" s="50">
        <v>305365</v>
      </c>
      <c r="H16" s="51"/>
      <c r="I16" s="51">
        <f>ZAN[[#This Row],[Opening]]+ZAN[[#This Row],[Purchase]]-ZAN[[#This Row],[Payment]]</f>
        <v>305365</v>
      </c>
      <c r="J16" s="61">
        <f>J15+ZAN[[#This Row],[Purchase]]-ZAN[[#This Row],[Payment]]</f>
        <v>1528630</v>
      </c>
    </row>
    <row r="17" spans="1:9" x14ac:dyDescent="0.55000000000000004">
      <c r="A17" s="47"/>
      <c r="B17" s="48"/>
      <c r="C17" s="48"/>
      <c r="D17" s="49"/>
      <c r="E17" s="44"/>
      <c r="F17" s="50"/>
      <c r="G17" s="50"/>
      <c r="H17" s="51"/>
      <c r="I17" s="51"/>
    </row>
    <row r="18" spans="1:9" x14ac:dyDescent="0.55000000000000004">
      <c r="A18" s="47"/>
      <c r="B18" s="48"/>
      <c r="C18" s="48"/>
      <c r="D18" s="49"/>
      <c r="E18" s="44"/>
      <c r="F18" s="50"/>
      <c r="G18" s="50"/>
      <c r="H18" s="51"/>
      <c r="I18" s="51"/>
    </row>
    <row r="19" spans="1:9" x14ac:dyDescent="0.55000000000000004">
      <c r="A19" s="34"/>
      <c r="B19" s="35"/>
      <c r="C19" s="35"/>
      <c r="D19" s="36"/>
      <c r="E19" s="37"/>
      <c r="F19" s="38"/>
      <c r="G19" s="38"/>
      <c r="H19" s="39"/>
      <c r="I19" s="39"/>
    </row>
    <row r="20" spans="1:9" x14ac:dyDescent="0.55000000000000004">
      <c r="A20" s="34"/>
      <c r="B20" s="35"/>
      <c r="C20" s="35"/>
      <c r="D20" s="36"/>
      <c r="E20" s="37"/>
      <c r="F20" s="38"/>
      <c r="G20" s="38"/>
      <c r="H20" s="39"/>
      <c r="I20" s="39"/>
    </row>
    <row r="21" spans="1:9" x14ac:dyDescent="0.55000000000000004">
      <c r="A21" s="34"/>
      <c r="B21" s="35"/>
      <c r="C21" s="35"/>
      <c r="D21" s="36"/>
      <c r="E21" s="37"/>
      <c r="F21" s="38"/>
      <c r="G21" s="38"/>
      <c r="H21" s="39"/>
      <c r="I21" s="39"/>
    </row>
    <row r="22" spans="1:9" x14ac:dyDescent="0.55000000000000004">
      <c r="A22" s="34"/>
      <c r="B22" s="35"/>
      <c r="C22" s="35"/>
      <c r="D22" s="36"/>
      <c r="E22" s="37"/>
      <c r="F22" s="38"/>
      <c r="G22" s="38"/>
      <c r="H22" s="39"/>
      <c r="I22" s="39"/>
    </row>
    <row r="23" spans="1:9" x14ac:dyDescent="0.55000000000000004">
      <c r="A23" s="34"/>
      <c r="B23" s="35"/>
      <c r="C23" s="35"/>
      <c r="D23" s="36"/>
      <c r="E23" s="37"/>
      <c r="F23" s="38"/>
      <c r="G23" s="38"/>
      <c r="H23" s="39"/>
      <c r="I23" s="3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2060"/>
  </sheetPr>
  <dimension ref="A1:K27"/>
  <sheetViews>
    <sheetView topLeftCell="A10" zoomScaleNormal="100" workbookViewId="0">
      <selection activeCell="C2" sqref="C2"/>
    </sheetView>
  </sheetViews>
  <sheetFormatPr defaultColWidth="8.7109375" defaultRowHeight="21.75" x14ac:dyDescent="0.55000000000000004"/>
  <cols>
    <col min="1" max="1" width="3.5703125" style="1" bestFit="1" customWidth="1"/>
    <col min="2" max="2" width="26.140625" style="1" customWidth="1"/>
    <col min="3" max="3" width="16.28515625" style="8" customWidth="1"/>
    <col min="4" max="5" width="18.42578125" style="8" customWidth="1"/>
    <col min="6" max="6" width="17.42578125" style="8" customWidth="1"/>
    <col min="7" max="7" width="11.85546875" style="9" bestFit="1" customWidth="1"/>
    <col min="8" max="8" width="10.85546875" style="9" bestFit="1" customWidth="1"/>
    <col min="9" max="10" width="8.7109375" style="1"/>
    <col min="11" max="11" width="24.42578125" style="1" bestFit="1" customWidth="1"/>
    <col min="12" max="16384" width="8.7109375" style="1"/>
  </cols>
  <sheetData>
    <row r="1" spans="1:11" s="7" customFormat="1" x14ac:dyDescent="0.55000000000000004">
      <c r="A1" s="21" t="s">
        <v>0</v>
      </c>
      <c r="B1" s="21" t="s">
        <v>3</v>
      </c>
      <c r="C1" s="22" t="s">
        <v>5</v>
      </c>
      <c r="D1" s="22" t="s">
        <v>6</v>
      </c>
      <c r="E1" s="22" t="s">
        <v>7</v>
      </c>
      <c r="F1" s="22" t="s">
        <v>8</v>
      </c>
      <c r="G1" s="8"/>
      <c r="H1" s="8"/>
      <c r="K1" s="12"/>
    </row>
    <row r="2" spans="1:11" x14ac:dyDescent="0.55000000000000004">
      <c r="A2" s="23">
        <v>1</v>
      </c>
      <c r="B2" s="23" t="s">
        <v>9</v>
      </c>
      <c r="C2" s="20">
        <f>SUMIF('Data Combine'!$D:$D,$B2,'Data Combine'!F:F)</f>
        <v>630620</v>
      </c>
      <c r="D2" s="20">
        <f>SUMIF('Data Combine'!$D:$D,$B2,'Data Combine'!G:G)</f>
        <v>0</v>
      </c>
      <c r="E2" s="20">
        <f>SUMIF('Data Combine'!$D:$D,$B2,'Data Combine'!H:H)</f>
        <v>0</v>
      </c>
      <c r="F2" s="20">
        <f>SUMIF('Data Combine'!$D:$D,$B2,'Data Combine'!I:I)</f>
        <v>630620</v>
      </c>
      <c r="K2" s="12"/>
    </row>
    <row r="3" spans="1:11" x14ac:dyDescent="0.55000000000000004">
      <c r="A3" s="23">
        <v>2</v>
      </c>
      <c r="B3" s="24" t="s">
        <v>15</v>
      </c>
      <c r="C3" s="20">
        <f>SUMIF('Data Combine'!$D:$D,$B3,'Data Combine'!F:F)</f>
        <v>0</v>
      </c>
      <c r="D3" s="20">
        <f>SUMIF('Data Combine'!$D:$D,$B3,'Data Combine'!G:G)</f>
        <v>0</v>
      </c>
      <c r="E3" s="20">
        <f>SUMIF('Data Combine'!$D:$D,$B3,'Data Combine'!H:H)</f>
        <v>0</v>
      </c>
      <c r="F3" s="20">
        <f>SUMIF('Data Combine'!$D:$D,$B3,'Data Combine'!I:I)</f>
        <v>0</v>
      </c>
      <c r="G3" s="1"/>
      <c r="H3" s="1"/>
      <c r="K3" s="12"/>
    </row>
    <row r="4" spans="1:11" x14ac:dyDescent="0.55000000000000004">
      <c r="A4" s="23">
        <v>3</v>
      </c>
      <c r="B4" s="24" t="s">
        <v>18</v>
      </c>
      <c r="C4" s="20">
        <f>SUMIF('Data Combine'!$D:$D,$B4,'Data Combine'!F:F)</f>
        <v>689657</v>
      </c>
      <c r="D4" s="20">
        <f>SUMIF('Data Combine'!$D:$D,$B4,'Data Combine'!G:G)</f>
        <v>1965591</v>
      </c>
      <c r="E4" s="20">
        <f>SUMIF('Data Combine'!$D:$D,$B4,'Data Combine'!H:H)</f>
        <v>1158889</v>
      </c>
      <c r="F4" s="20">
        <f>SUMIF('Data Combine'!$D:$D,$B4,'Data Combine'!I:I)</f>
        <v>1496359</v>
      </c>
      <c r="G4" s="1"/>
      <c r="H4" s="1"/>
      <c r="K4" s="12"/>
    </row>
    <row r="5" spans="1:11" x14ac:dyDescent="0.55000000000000004">
      <c r="A5" s="23">
        <v>4</v>
      </c>
      <c r="B5" s="24" t="s">
        <v>74</v>
      </c>
      <c r="C5" s="20">
        <f>SUMIF('Data Combine'!$D:$D,$B5,'Data Combine'!F:F)</f>
        <v>829260</v>
      </c>
      <c r="D5" s="20">
        <f>SUMIF('Data Combine'!$D:$D,$B5,'Data Combine'!G:G)</f>
        <v>722700</v>
      </c>
      <c r="E5" s="20">
        <f>SUMIF('Data Combine'!$D:$D,$B5,'Data Combine'!H:H)</f>
        <v>700000</v>
      </c>
      <c r="F5" s="20">
        <f>SUMIF('Data Combine'!$D:$D,$B5,'Data Combine'!I:I)</f>
        <v>851960</v>
      </c>
      <c r="G5" s="1"/>
      <c r="H5" s="1"/>
      <c r="K5" s="12"/>
    </row>
    <row r="6" spans="1:11" x14ac:dyDescent="0.55000000000000004">
      <c r="A6" s="23">
        <v>5</v>
      </c>
      <c r="B6" s="24" t="s">
        <v>76</v>
      </c>
      <c r="C6" s="20">
        <f>SUMIF('Data Combine'!$D:$D,$B6,'Data Combine'!F:F)</f>
        <v>10325000</v>
      </c>
      <c r="D6" s="20">
        <f>SUMIF('Data Combine'!$D:$D,$B6,'Data Combine'!G:G)</f>
        <v>0</v>
      </c>
      <c r="E6" s="20">
        <f>SUMIF('Data Combine'!$D:$D,$B6,'Data Combine'!H:H)</f>
        <v>6408000</v>
      </c>
      <c r="F6" s="20">
        <f>SUMIF('Data Combine'!$D:$D,$B6,'Data Combine'!I:I)</f>
        <v>3917000</v>
      </c>
      <c r="G6" s="1"/>
      <c r="H6" s="1"/>
      <c r="K6" s="12"/>
    </row>
    <row r="7" spans="1:11" x14ac:dyDescent="0.55000000000000004">
      <c r="A7" s="23">
        <v>6</v>
      </c>
      <c r="B7" s="24" t="s">
        <v>75</v>
      </c>
      <c r="C7" s="20">
        <f>SUMIF('Data Combine'!$D:$D,$B7,'Data Combine'!F:F)</f>
        <v>32492000</v>
      </c>
      <c r="D7" s="20">
        <f>SUMIF('Data Combine'!$D:$D,$B7,'Data Combine'!G:G)</f>
        <v>0</v>
      </c>
      <c r="E7" s="20">
        <f>SUMIF('Data Combine'!$D:$D,$B7,'Data Combine'!H:H)</f>
        <v>13540000</v>
      </c>
      <c r="F7" s="20">
        <f>SUMIF('Data Combine'!$D:$D,$B7,'Data Combine'!I:I)</f>
        <v>18952000</v>
      </c>
      <c r="G7" s="1"/>
      <c r="H7" s="1"/>
      <c r="K7" s="12"/>
    </row>
    <row r="8" spans="1:11" x14ac:dyDescent="0.55000000000000004">
      <c r="A8" s="23">
        <v>7</v>
      </c>
      <c r="B8" s="24" t="s">
        <v>29</v>
      </c>
      <c r="C8" s="20">
        <f>SUMIF('Data Combine'!$D:$D,$B8,'Data Combine'!F:F)</f>
        <v>2250335</v>
      </c>
      <c r="D8" s="20">
        <f>SUMIF('Data Combine'!$D:$D,$B8,'Data Combine'!G:G)</f>
        <v>3253750</v>
      </c>
      <c r="E8" s="20">
        <f>SUMIF('Data Combine'!$D:$D,$B8,'Data Combine'!H:H)</f>
        <v>1423150</v>
      </c>
      <c r="F8" s="20">
        <f>SUMIF('Data Combine'!$D:$D,$B8,'Data Combine'!I:I)</f>
        <v>4080935</v>
      </c>
      <c r="G8" s="1"/>
      <c r="H8" s="1"/>
      <c r="K8" s="12"/>
    </row>
    <row r="9" spans="1:11" x14ac:dyDescent="0.55000000000000004">
      <c r="A9" s="23">
        <v>8</v>
      </c>
      <c r="B9" s="24" t="s">
        <v>77</v>
      </c>
      <c r="C9" s="20">
        <f>SUMIF('Data Combine'!$D:$D,$B9,'Data Combine'!F:F)</f>
        <v>2250700</v>
      </c>
      <c r="D9" s="20">
        <f>SUMIF('Data Combine'!$D:$D,$B9,'Data Combine'!G:G)</f>
        <v>446280</v>
      </c>
      <c r="E9" s="20">
        <f>SUMIF('Data Combine'!$D:$D,$B9,'Data Combine'!H:H)</f>
        <v>1000000</v>
      </c>
      <c r="F9" s="20">
        <f>SUMIF('Data Combine'!$D:$D,$B9,'Data Combine'!I:I)</f>
        <v>1696980</v>
      </c>
      <c r="G9" s="1"/>
      <c r="H9" s="1"/>
      <c r="K9" s="12"/>
    </row>
    <row r="10" spans="1:11" x14ac:dyDescent="0.55000000000000004">
      <c r="A10" s="23">
        <v>9</v>
      </c>
      <c r="B10" s="24" t="s">
        <v>58</v>
      </c>
      <c r="C10" s="20">
        <f>SUMIF('Data Combine'!$D:$D,$B10,'Data Combine'!F:F)</f>
        <v>2184122</v>
      </c>
      <c r="D10" s="20">
        <f>SUMIF('Data Combine'!$D:$D,$B10,'Data Combine'!G:G)</f>
        <v>1157700</v>
      </c>
      <c r="E10" s="20">
        <f>SUMIF('Data Combine'!$D:$D,$B10,'Data Combine'!H:H)</f>
        <v>2603672</v>
      </c>
      <c r="F10" s="20">
        <f>SUMIF('Data Combine'!$D:$D,$B10,'Data Combine'!I:I)</f>
        <v>738150</v>
      </c>
      <c r="G10" s="1"/>
      <c r="H10" s="1"/>
      <c r="K10" s="12"/>
    </row>
    <row r="11" spans="1:11" x14ac:dyDescent="0.55000000000000004">
      <c r="A11" s="23">
        <v>10</v>
      </c>
      <c r="B11" s="24" t="s">
        <v>42</v>
      </c>
      <c r="C11" s="20">
        <f>SUMIF('Data Combine'!$D:$D,$B11,'Data Combine'!F:F)</f>
        <v>35000</v>
      </c>
      <c r="D11" s="20">
        <f>SUMIF('Data Combine'!$D:$D,$B11,'Data Combine'!G:G)</f>
        <v>105000</v>
      </c>
      <c r="E11" s="20">
        <f>SUMIF('Data Combine'!$D:$D,$B11,'Data Combine'!H:H)</f>
        <v>140000</v>
      </c>
      <c r="F11" s="20">
        <f>SUMIF('Data Combine'!$D:$D,$B11,'Data Combine'!I:I)</f>
        <v>0</v>
      </c>
      <c r="G11" s="1"/>
      <c r="H11" s="1"/>
      <c r="K11" s="12"/>
    </row>
    <row r="12" spans="1:11" x14ac:dyDescent="0.55000000000000004">
      <c r="A12" s="23">
        <v>11</v>
      </c>
      <c r="B12" s="24" t="s">
        <v>78</v>
      </c>
      <c r="C12" s="20">
        <f>SUMIF('Data Combine'!$D:$D,$B12,'Data Combine'!F:F)</f>
        <v>132500</v>
      </c>
      <c r="D12" s="20">
        <f>SUMIF('Data Combine'!$D:$D,$B12,'Data Combine'!G:G)</f>
        <v>464950</v>
      </c>
      <c r="E12" s="20">
        <f>SUMIF('Data Combine'!$D:$D,$B12,'Data Combine'!H:H)</f>
        <v>597450</v>
      </c>
      <c r="F12" s="20">
        <f>SUMIF('Data Combine'!$D:$D,$B12,'Data Combine'!I:I)</f>
        <v>0</v>
      </c>
      <c r="K12" s="12"/>
    </row>
    <row r="13" spans="1:11" x14ac:dyDescent="0.55000000000000004">
      <c r="A13" s="23">
        <v>12</v>
      </c>
      <c r="B13" s="24" t="s">
        <v>44</v>
      </c>
      <c r="C13" s="20">
        <f>SUMIF('Data Combine'!$D:$D,$B13,'Data Combine'!F:F)</f>
        <v>2208992</v>
      </c>
      <c r="D13" s="20">
        <f>SUMIF('Data Combine'!$D:$D,$B13,'Data Combine'!G:G)</f>
        <v>0</v>
      </c>
      <c r="E13" s="20">
        <f>SUMIF('Data Combine'!$D:$D,$B13,'Data Combine'!H:H)</f>
        <v>0</v>
      </c>
      <c r="F13" s="20">
        <f>SUMIF('Data Combine'!$D:$D,$B13,'Data Combine'!I:I)</f>
        <v>2208992</v>
      </c>
      <c r="K13" s="12"/>
    </row>
    <row r="14" spans="1:11" x14ac:dyDescent="0.55000000000000004">
      <c r="A14" s="23">
        <v>13</v>
      </c>
      <c r="B14" s="24" t="s">
        <v>79</v>
      </c>
      <c r="C14" s="20">
        <f>SUMIF('Data Combine'!$D:$D,$B14,'Data Combine'!F:F)</f>
        <v>1809460</v>
      </c>
      <c r="D14" s="20">
        <f>SUMIF('Data Combine'!$D:$D,$B14,'Data Combine'!G:G)</f>
        <v>4708750</v>
      </c>
      <c r="E14" s="20">
        <f>SUMIF('Data Combine'!$D:$D,$B14,'Data Combine'!H:H)</f>
        <v>3740000</v>
      </c>
      <c r="F14" s="20">
        <f>SUMIF('Data Combine'!$D:$D,$B14,'Data Combine'!I:I)</f>
        <v>2778210</v>
      </c>
      <c r="K14" s="12"/>
    </row>
    <row r="15" spans="1:11" x14ac:dyDescent="0.55000000000000004">
      <c r="A15" s="23">
        <v>14</v>
      </c>
      <c r="B15" s="24" t="s">
        <v>80</v>
      </c>
      <c r="C15" s="20">
        <f>SUMIF('Data Combine'!$D:$D,$B15,'Data Combine'!F:F)</f>
        <v>2754773</v>
      </c>
      <c r="D15" s="20">
        <f>SUMIF('Data Combine'!$D:$D,$B15,'Data Combine'!G:G)</f>
        <v>0</v>
      </c>
      <c r="E15" s="20">
        <f>SUMIF('Data Combine'!$D:$D,$B15,'Data Combine'!H:H)</f>
        <v>0</v>
      </c>
      <c r="F15" s="20">
        <f>SUMIF('Data Combine'!$D:$D,$B15,'Data Combine'!I:I)</f>
        <v>2754773</v>
      </c>
      <c r="K15" s="12"/>
    </row>
    <row r="16" spans="1:11" x14ac:dyDescent="0.55000000000000004">
      <c r="A16" s="23">
        <v>15</v>
      </c>
      <c r="B16" s="24" t="s">
        <v>48</v>
      </c>
      <c r="C16" s="20">
        <f>SUMIF('Data Combine'!$D:$D,$B16,'Data Combine'!F:F)</f>
        <v>5934500</v>
      </c>
      <c r="D16" s="20">
        <f>SUMIF('Data Combine'!$D:$D,$B16,'Data Combine'!G:G)</f>
        <v>4202000</v>
      </c>
      <c r="E16" s="20">
        <f>SUMIF('Data Combine'!$D:$D,$B16,'Data Combine'!H:H)</f>
        <v>4634000</v>
      </c>
      <c r="F16" s="20">
        <f>SUMIF('Data Combine'!$D:$D,$B16,'Data Combine'!I:I)</f>
        <v>5502500</v>
      </c>
      <c r="K16" s="12"/>
    </row>
    <row r="17" spans="1:11" x14ac:dyDescent="0.55000000000000004">
      <c r="A17" s="23">
        <v>16</v>
      </c>
      <c r="B17" s="24" t="s">
        <v>50</v>
      </c>
      <c r="C17" s="20">
        <f>SUMIF('Data Combine'!$D:$D,$B17,'Data Combine'!F:F)</f>
        <v>0</v>
      </c>
      <c r="D17" s="20">
        <f>SUMIF('Data Combine'!$D:$D,$B17,'Data Combine'!G:G)</f>
        <v>117000.01</v>
      </c>
      <c r="E17" s="20">
        <f>SUMIF('Data Combine'!$D:$D,$B17,'Data Combine'!H:H)</f>
        <v>0</v>
      </c>
      <c r="F17" s="20">
        <f>SUMIF('Data Combine'!$D:$D,$B17,'Data Combine'!I:I)</f>
        <v>117000.01</v>
      </c>
      <c r="K17" s="12"/>
    </row>
    <row r="18" spans="1:11" x14ac:dyDescent="0.55000000000000004">
      <c r="A18" s="23">
        <v>17</v>
      </c>
      <c r="B18" s="24" t="s">
        <v>65</v>
      </c>
      <c r="C18" s="20">
        <f>SUMIF('Data Combine'!$D:$D,$B18,'Data Combine'!F:F)</f>
        <v>0</v>
      </c>
      <c r="D18" s="20">
        <f>SUMIF('Data Combine'!$D:$D,$B18,'Data Combine'!G:G)</f>
        <v>644490</v>
      </c>
      <c r="E18" s="20">
        <f>SUMIF('Data Combine'!$D:$D,$B18,'Data Combine'!H:H)</f>
        <v>453540</v>
      </c>
      <c r="F18" s="20">
        <f>SUMIF('Data Combine'!$D:$D,$B18,'Data Combine'!I:I)</f>
        <v>190950</v>
      </c>
      <c r="K18" s="12"/>
    </row>
    <row r="19" spans="1:11" x14ac:dyDescent="0.55000000000000004">
      <c r="A19" s="23">
        <v>18</v>
      </c>
      <c r="B19" s="24" t="s">
        <v>81</v>
      </c>
      <c r="C19" s="20">
        <f>SUMIF('Data Combine'!$D:$D,$B19,'Data Combine'!F:F)</f>
        <v>1145500</v>
      </c>
      <c r="D19" s="20">
        <f>SUMIF('Data Combine'!$D:$D,$B19,'Data Combine'!G:G)</f>
        <v>0</v>
      </c>
      <c r="E19" s="20">
        <f>SUMIF('Data Combine'!$D:$D,$B19,'Data Combine'!H:H)</f>
        <v>0</v>
      </c>
      <c r="F19" s="20">
        <f>SUMIF('Data Combine'!$D:$D,$B19,'Data Combine'!I:I)</f>
        <v>1145500</v>
      </c>
      <c r="K19" s="12"/>
    </row>
    <row r="20" spans="1:11" x14ac:dyDescent="0.55000000000000004">
      <c r="A20" s="23">
        <v>19</v>
      </c>
      <c r="B20" s="24" t="s">
        <v>82</v>
      </c>
      <c r="C20" s="20">
        <f>SUMIF('Data Combine'!$D:$D,$B20,'Data Combine'!F:F)</f>
        <v>143000</v>
      </c>
      <c r="D20" s="20">
        <f>SUMIF('Data Combine'!$D:$D,$B20,'Data Combine'!G:G)</f>
        <v>0</v>
      </c>
      <c r="E20" s="20">
        <f>SUMIF('Data Combine'!$D:$D,$B20,'Data Combine'!H:H)</f>
        <v>0</v>
      </c>
      <c r="F20" s="20">
        <f>SUMIF('Data Combine'!$D:$D,$B20,'Data Combine'!I:I)</f>
        <v>143000</v>
      </c>
      <c r="K20" s="12"/>
    </row>
    <row r="21" spans="1:11" x14ac:dyDescent="0.55000000000000004">
      <c r="A21" s="23">
        <v>20</v>
      </c>
      <c r="B21" s="24" t="s">
        <v>56</v>
      </c>
      <c r="C21" s="20">
        <f>SUMIF('Data Combine'!$D:$D,$B21,'Data Combine'!F:F)</f>
        <v>1441917</v>
      </c>
      <c r="D21" s="20">
        <f>SUMIF('Data Combine'!$D:$D,$B21,'Data Combine'!G:G)</f>
        <v>2086713</v>
      </c>
      <c r="E21" s="20">
        <f>SUMIF('Data Combine'!$D:$D,$B21,'Data Combine'!H:H)</f>
        <v>2000000</v>
      </c>
      <c r="F21" s="20">
        <f>SUMIF('Data Combine'!$D:$D,$B21,'Data Combine'!I:I)</f>
        <v>1528630</v>
      </c>
      <c r="K21"/>
    </row>
    <row r="22" spans="1:11" x14ac:dyDescent="0.55000000000000004">
      <c r="K22"/>
    </row>
    <row r="23" spans="1:11" ht="22.5" thickBot="1" x14ac:dyDescent="0.6">
      <c r="B23" s="26" t="s">
        <v>84</v>
      </c>
      <c r="C23" s="25">
        <f>SUM(C2:C22)</f>
        <v>67257336</v>
      </c>
      <c r="D23" s="25">
        <f>SUM(D2:D22)</f>
        <v>19874924.010000002</v>
      </c>
      <c r="E23" s="25">
        <f>SUM(E2:E22)</f>
        <v>38398701</v>
      </c>
      <c r="F23" s="25">
        <f>SUM(ZAN_25[Balance])</f>
        <v>48733559.009999998</v>
      </c>
      <c r="K23"/>
    </row>
    <row r="24" spans="1:11" ht="22.5" thickTop="1" x14ac:dyDescent="0.55000000000000004">
      <c r="K24"/>
    </row>
    <row r="25" spans="1:11" x14ac:dyDescent="0.55000000000000004">
      <c r="K25"/>
    </row>
    <row r="26" spans="1:11" x14ac:dyDescent="0.55000000000000004">
      <c r="K26"/>
    </row>
    <row r="27" spans="1:11" x14ac:dyDescent="0.55000000000000004">
      <c r="K27"/>
    </row>
  </sheetData>
  <pageMargins left="0.2" right="0.2" top="0.75" bottom="0.75" header="0.3" footer="0.3"/>
  <pageSetup paperSize="11" scale="70" orientation="portrait" verticalDpi="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128"/>
  <sheetViews>
    <sheetView topLeftCell="A57" workbookViewId="0">
      <selection activeCell="B70" sqref="B70"/>
    </sheetView>
  </sheetViews>
  <sheetFormatPr defaultRowHeight="21.75" x14ac:dyDescent="0.55000000000000004"/>
  <cols>
    <col min="1" max="1" width="30.42578125" style="43" customWidth="1"/>
    <col min="2" max="2" width="54.140625" style="43" customWidth="1"/>
    <col min="3" max="3" width="22.28515625" style="64" customWidth="1"/>
    <col min="4" max="4" width="23.28515625" style="64" customWidth="1"/>
    <col min="5" max="5" width="23" style="64" customWidth="1"/>
    <col min="6" max="6" width="21.85546875" style="64" customWidth="1"/>
    <col min="7" max="16384" width="9.140625" style="43"/>
  </cols>
  <sheetData>
    <row r="1" spans="1:6" x14ac:dyDescent="0.55000000000000004">
      <c r="A1" s="63" t="s">
        <v>88</v>
      </c>
      <c r="B1" s="63" t="s">
        <v>89</v>
      </c>
      <c r="C1" s="65" t="s">
        <v>194</v>
      </c>
      <c r="D1" s="65" t="s">
        <v>195</v>
      </c>
      <c r="E1" s="65" t="s">
        <v>196</v>
      </c>
      <c r="F1" s="65" t="s">
        <v>197</v>
      </c>
    </row>
    <row r="2" spans="1:6" x14ac:dyDescent="0.55000000000000004">
      <c r="A2" s="43" t="s">
        <v>9</v>
      </c>
      <c r="B2" s="43" t="s">
        <v>5</v>
      </c>
      <c r="C2" s="65">
        <v>630620</v>
      </c>
      <c r="D2" s="65"/>
      <c r="E2" s="65"/>
      <c r="F2" s="65">
        <v>630620</v>
      </c>
    </row>
    <row r="3" spans="1:6" x14ac:dyDescent="0.55000000000000004">
      <c r="A3" s="43" t="s">
        <v>173</v>
      </c>
      <c r="C3" s="65">
        <v>630620</v>
      </c>
      <c r="D3" s="65"/>
      <c r="E3" s="65"/>
      <c r="F3" s="65">
        <v>630620</v>
      </c>
    </row>
    <row r="4" spans="1:6" x14ac:dyDescent="0.55000000000000004">
      <c r="A4" s="43" t="s">
        <v>15</v>
      </c>
      <c r="B4" s="43" t="s">
        <v>5</v>
      </c>
      <c r="C4" s="65"/>
      <c r="D4" s="65"/>
      <c r="E4" s="65"/>
      <c r="F4" s="65">
        <v>0</v>
      </c>
    </row>
    <row r="5" spans="1:6" x14ac:dyDescent="0.55000000000000004">
      <c r="A5" s="43" t="s">
        <v>174</v>
      </c>
      <c r="C5" s="65"/>
      <c r="D5" s="65"/>
      <c r="E5" s="65"/>
      <c r="F5" s="65">
        <v>0</v>
      </c>
    </row>
    <row r="6" spans="1:6" x14ac:dyDescent="0.55000000000000004">
      <c r="A6" s="43" t="s">
        <v>18</v>
      </c>
      <c r="B6" s="43" t="s">
        <v>143</v>
      </c>
      <c r="C6" s="65"/>
      <c r="D6" s="65">
        <v>44500</v>
      </c>
      <c r="E6" s="65"/>
      <c r="F6" s="65">
        <v>44500</v>
      </c>
    </row>
    <row r="7" spans="1:6" x14ac:dyDescent="0.55000000000000004">
      <c r="A7" s="43" t="s">
        <v>18</v>
      </c>
      <c r="B7" s="43" t="s">
        <v>138</v>
      </c>
      <c r="C7" s="65"/>
      <c r="D7" s="65">
        <v>39350</v>
      </c>
      <c r="E7" s="65"/>
      <c r="F7" s="65">
        <v>39350</v>
      </c>
    </row>
    <row r="8" spans="1:6" x14ac:dyDescent="0.55000000000000004">
      <c r="A8" s="43" t="s">
        <v>18</v>
      </c>
      <c r="B8" s="43" t="s">
        <v>115</v>
      </c>
      <c r="C8" s="65"/>
      <c r="D8" s="65">
        <v>33000</v>
      </c>
      <c r="E8" s="65"/>
      <c r="F8" s="65">
        <v>33000</v>
      </c>
    </row>
    <row r="9" spans="1:6" x14ac:dyDescent="0.55000000000000004">
      <c r="A9" s="43" t="s">
        <v>18</v>
      </c>
      <c r="B9" s="43" t="s">
        <v>5</v>
      </c>
      <c r="C9" s="65">
        <v>689657</v>
      </c>
      <c r="D9" s="65"/>
      <c r="E9" s="65"/>
      <c r="F9" s="65">
        <v>689657</v>
      </c>
    </row>
    <row r="10" spans="1:6" x14ac:dyDescent="0.55000000000000004">
      <c r="A10" s="43" t="s">
        <v>18</v>
      </c>
      <c r="B10" s="43" t="s">
        <v>144</v>
      </c>
      <c r="C10" s="65"/>
      <c r="D10" s="65">
        <v>317468</v>
      </c>
      <c r="E10" s="65"/>
      <c r="F10" s="65">
        <v>317468</v>
      </c>
    </row>
    <row r="11" spans="1:6" x14ac:dyDescent="0.55000000000000004">
      <c r="A11" s="43" t="s">
        <v>18</v>
      </c>
      <c r="B11" s="43" t="s">
        <v>167</v>
      </c>
      <c r="C11" s="65"/>
      <c r="D11" s="65">
        <v>98381</v>
      </c>
      <c r="E11" s="65"/>
      <c r="F11" s="65">
        <v>98381</v>
      </c>
    </row>
    <row r="12" spans="1:6" x14ac:dyDescent="0.55000000000000004">
      <c r="A12" s="43" t="s">
        <v>18</v>
      </c>
      <c r="B12" s="43" t="s">
        <v>128</v>
      </c>
      <c r="C12" s="65"/>
      <c r="D12" s="65">
        <v>241744</v>
      </c>
      <c r="E12" s="65"/>
      <c r="F12" s="65">
        <v>241744</v>
      </c>
    </row>
    <row r="13" spans="1:6" x14ac:dyDescent="0.55000000000000004">
      <c r="A13" s="43" t="s">
        <v>18</v>
      </c>
      <c r="B13" s="43" t="s">
        <v>168</v>
      </c>
      <c r="C13" s="65"/>
      <c r="D13" s="65">
        <v>154680</v>
      </c>
      <c r="E13" s="65"/>
      <c r="F13" s="65">
        <v>154680</v>
      </c>
    </row>
    <row r="14" spans="1:6" x14ac:dyDescent="0.55000000000000004">
      <c r="A14" s="43" t="s">
        <v>18</v>
      </c>
      <c r="B14" s="43" t="s">
        <v>139</v>
      </c>
      <c r="C14" s="65"/>
      <c r="D14" s="65">
        <v>39200</v>
      </c>
      <c r="E14" s="65"/>
      <c r="F14" s="65">
        <v>39200</v>
      </c>
    </row>
    <row r="15" spans="1:6" x14ac:dyDescent="0.55000000000000004">
      <c r="A15" s="43" t="s">
        <v>18</v>
      </c>
      <c r="B15" s="43" t="s">
        <v>116</v>
      </c>
      <c r="C15" s="65"/>
      <c r="D15" s="65">
        <v>284448</v>
      </c>
      <c r="E15" s="65"/>
      <c r="F15" s="65">
        <v>284448</v>
      </c>
    </row>
    <row r="16" spans="1:6" x14ac:dyDescent="0.55000000000000004">
      <c r="A16" s="43" t="s">
        <v>18</v>
      </c>
      <c r="B16" s="43" t="s">
        <v>169</v>
      </c>
      <c r="C16" s="65"/>
      <c r="D16" s="65">
        <v>288920</v>
      </c>
      <c r="E16" s="65"/>
      <c r="F16" s="65">
        <v>288920</v>
      </c>
    </row>
    <row r="17" spans="1:6" x14ac:dyDescent="0.55000000000000004">
      <c r="A17" s="43" t="s">
        <v>18</v>
      </c>
      <c r="B17" s="43" t="s">
        <v>145</v>
      </c>
      <c r="C17" s="65"/>
      <c r="D17" s="65">
        <v>88595</v>
      </c>
      <c r="E17" s="65"/>
      <c r="F17" s="65">
        <v>88595</v>
      </c>
    </row>
    <row r="18" spans="1:6" x14ac:dyDescent="0.55000000000000004">
      <c r="A18" s="43" t="s">
        <v>18</v>
      </c>
      <c r="B18" s="43" t="s">
        <v>152</v>
      </c>
      <c r="C18" s="65"/>
      <c r="D18" s="65">
        <v>335305</v>
      </c>
      <c r="E18" s="65"/>
      <c r="F18" s="65">
        <v>335305</v>
      </c>
    </row>
    <row r="19" spans="1:6" x14ac:dyDescent="0.55000000000000004">
      <c r="A19" s="43" t="s">
        <v>18</v>
      </c>
      <c r="B19" s="43" t="s">
        <v>134</v>
      </c>
      <c r="C19" s="65"/>
      <c r="D19" s="65"/>
      <c r="E19" s="65">
        <v>1158889</v>
      </c>
      <c r="F19" s="65">
        <v>-1158889</v>
      </c>
    </row>
    <row r="20" spans="1:6" x14ac:dyDescent="0.55000000000000004">
      <c r="A20" s="43" t="s">
        <v>175</v>
      </c>
      <c r="C20" s="65">
        <v>689657</v>
      </c>
      <c r="D20" s="65">
        <v>1965591</v>
      </c>
      <c r="E20" s="65">
        <v>1158889</v>
      </c>
      <c r="F20" s="65">
        <v>1496359</v>
      </c>
    </row>
    <row r="21" spans="1:6" x14ac:dyDescent="0.55000000000000004">
      <c r="A21" s="43" t="s">
        <v>74</v>
      </c>
      <c r="B21" s="43" t="s">
        <v>107</v>
      </c>
      <c r="C21" s="65"/>
      <c r="D21" s="65"/>
      <c r="E21" s="65">
        <v>700000</v>
      </c>
      <c r="F21" s="65">
        <v>-700000</v>
      </c>
    </row>
    <row r="22" spans="1:6" x14ac:dyDescent="0.55000000000000004">
      <c r="A22" s="43" t="s">
        <v>74</v>
      </c>
      <c r="B22" s="43" t="s">
        <v>106</v>
      </c>
      <c r="C22" s="65"/>
      <c r="D22" s="65">
        <v>332100</v>
      </c>
      <c r="E22" s="65"/>
      <c r="F22" s="65">
        <v>332100</v>
      </c>
    </row>
    <row r="23" spans="1:6" x14ac:dyDescent="0.55000000000000004">
      <c r="A23" s="43" t="s">
        <v>74</v>
      </c>
      <c r="B23" s="43" t="s">
        <v>160</v>
      </c>
      <c r="C23" s="65"/>
      <c r="D23" s="65">
        <v>390600</v>
      </c>
      <c r="E23" s="65"/>
      <c r="F23" s="65">
        <v>390600</v>
      </c>
    </row>
    <row r="24" spans="1:6" x14ac:dyDescent="0.55000000000000004">
      <c r="A24" s="43" t="s">
        <v>74</v>
      </c>
      <c r="B24" s="43" t="s">
        <v>5</v>
      </c>
      <c r="C24" s="65">
        <v>829260</v>
      </c>
      <c r="D24" s="65"/>
      <c r="E24" s="65"/>
      <c r="F24" s="65">
        <v>829260</v>
      </c>
    </row>
    <row r="25" spans="1:6" x14ac:dyDescent="0.55000000000000004">
      <c r="A25" s="43" t="s">
        <v>176</v>
      </c>
      <c r="C25" s="65">
        <v>829260</v>
      </c>
      <c r="D25" s="65">
        <v>722700</v>
      </c>
      <c r="E25" s="65">
        <v>700000</v>
      </c>
      <c r="F25" s="65">
        <v>851960</v>
      </c>
    </row>
    <row r="26" spans="1:6" x14ac:dyDescent="0.55000000000000004">
      <c r="A26" s="43" t="s">
        <v>76</v>
      </c>
      <c r="B26" s="43" t="s">
        <v>5</v>
      </c>
      <c r="C26" s="65">
        <v>10325000</v>
      </c>
      <c r="D26" s="65"/>
      <c r="E26" s="65"/>
      <c r="F26" s="65">
        <v>10325000</v>
      </c>
    </row>
    <row r="27" spans="1:6" x14ac:dyDescent="0.55000000000000004">
      <c r="A27" s="43" t="s">
        <v>76</v>
      </c>
      <c r="B27" s="43" t="s">
        <v>110</v>
      </c>
      <c r="C27" s="65"/>
      <c r="D27" s="65"/>
      <c r="E27" s="65">
        <v>6408000</v>
      </c>
      <c r="F27" s="65">
        <v>-6408000</v>
      </c>
    </row>
    <row r="28" spans="1:6" x14ac:dyDescent="0.55000000000000004">
      <c r="A28" s="43" t="s">
        <v>177</v>
      </c>
      <c r="C28" s="65">
        <v>10325000</v>
      </c>
      <c r="D28" s="65"/>
      <c r="E28" s="65">
        <v>6408000</v>
      </c>
      <c r="F28" s="65">
        <v>3917000</v>
      </c>
    </row>
    <row r="29" spans="1:6" x14ac:dyDescent="0.55000000000000004">
      <c r="A29" s="43" t="s">
        <v>75</v>
      </c>
      <c r="B29" s="43" t="s">
        <v>5</v>
      </c>
      <c r="C29" s="65">
        <v>32492000</v>
      </c>
      <c r="D29" s="65"/>
      <c r="E29" s="65"/>
      <c r="F29" s="65">
        <v>32492000</v>
      </c>
    </row>
    <row r="30" spans="1:6" x14ac:dyDescent="0.55000000000000004">
      <c r="A30" s="43" t="s">
        <v>75</v>
      </c>
      <c r="B30" s="43" t="s">
        <v>97</v>
      </c>
      <c r="C30" s="65"/>
      <c r="D30" s="65"/>
      <c r="E30" s="65">
        <v>3090000</v>
      </c>
      <c r="F30" s="65">
        <v>-3090000</v>
      </c>
    </row>
    <row r="31" spans="1:6" x14ac:dyDescent="0.55000000000000004">
      <c r="A31" s="43" t="s">
        <v>75</v>
      </c>
      <c r="B31" s="43" t="s">
        <v>98</v>
      </c>
      <c r="C31" s="65"/>
      <c r="D31" s="65"/>
      <c r="E31" s="65">
        <v>2320000</v>
      </c>
      <c r="F31" s="65">
        <v>-2320000</v>
      </c>
    </row>
    <row r="32" spans="1:6" x14ac:dyDescent="0.55000000000000004">
      <c r="A32" s="43" t="s">
        <v>75</v>
      </c>
      <c r="B32" s="43" t="s">
        <v>164</v>
      </c>
      <c r="C32" s="65"/>
      <c r="D32" s="65"/>
      <c r="E32" s="65">
        <v>6180000</v>
      </c>
      <c r="F32" s="65">
        <v>-6180000</v>
      </c>
    </row>
    <row r="33" spans="1:6" x14ac:dyDescent="0.55000000000000004">
      <c r="A33" s="43" t="s">
        <v>75</v>
      </c>
      <c r="B33" s="43" t="s">
        <v>95</v>
      </c>
      <c r="C33" s="65"/>
      <c r="D33" s="65"/>
      <c r="E33" s="65">
        <v>1000000</v>
      </c>
      <c r="F33" s="65">
        <v>-1000000</v>
      </c>
    </row>
    <row r="34" spans="1:6" x14ac:dyDescent="0.55000000000000004">
      <c r="A34" s="43" t="s">
        <v>75</v>
      </c>
      <c r="B34" s="43" t="s">
        <v>94</v>
      </c>
      <c r="C34" s="65"/>
      <c r="D34" s="65"/>
      <c r="E34" s="65">
        <v>500000</v>
      </c>
      <c r="F34" s="65">
        <v>-500000</v>
      </c>
    </row>
    <row r="35" spans="1:6" x14ac:dyDescent="0.55000000000000004">
      <c r="A35" s="43" t="s">
        <v>75</v>
      </c>
      <c r="B35" s="43" t="s">
        <v>96</v>
      </c>
      <c r="C35" s="65"/>
      <c r="D35" s="65"/>
      <c r="E35" s="65">
        <v>450000</v>
      </c>
      <c r="F35" s="65">
        <v>-450000</v>
      </c>
    </row>
    <row r="36" spans="1:6" x14ac:dyDescent="0.55000000000000004">
      <c r="A36" s="43" t="s">
        <v>178</v>
      </c>
      <c r="C36" s="65">
        <v>32492000</v>
      </c>
      <c r="D36" s="65"/>
      <c r="E36" s="65">
        <v>13540000</v>
      </c>
      <c r="F36" s="65">
        <v>18952000</v>
      </c>
    </row>
    <row r="37" spans="1:6" x14ac:dyDescent="0.55000000000000004">
      <c r="A37" s="43" t="s">
        <v>29</v>
      </c>
      <c r="B37" s="43" t="s">
        <v>130</v>
      </c>
      <c r="C37" s="65"/>
      <c r="D37" s="65">
        <v>185000</v>
      </c>
      <c r="E37" s="65"/>
      <c r="F37" s="65">
        <v>185000</v>
      </c>
    </row>
    <row r="38" spans="1:6" x14ac:dyDescent="0.55000000000000004">
      <c r="A38" s="43" t="s">
        <v>29</v>
      </c>
      <c r="B38" s="43" t="s">
        <v>104</v>
      </c>
      <c r="C38" s="65"/>
      <c r="D38" s="65">
        <v>261500</v>
      </c>
      <c r="E38" s="65"/>
      <c r="F38" s="65">
        <v>261500</v>
      </c>
    </row>
    <row r="39" spans="1:6" x14ac:dyDescent="0.55000000000000004">
      <c r="A39" s="43" t="s">
        <v>29</v>
      </c>
      <c r="B39" s="43" t="s">
        <v>108</v>
      </c>
      <c r="C39" s="65"/>
      <c r="D39" s="65">
        <v>306200</v>
      </c>
      <c r="E39" s="65"/>
      <c r="F39" s="65">
        <v>306200</v>
      </c>
    </row>
    <row r="40" spans="1:6" x14ac:dyDescent="0.55000000000000004">
      <c r="A40" s="43" t="s">
        <v>29</v>
      </c>
      <c r="B40" s="43" t="s">
        <v>5</v>
      </c>
      <c r="C40" s="65">
        <v>2250335</v>
      </c>
      <c r="D40" s="65"/>
      <c r="E40" s="65"/>
      <c r="F40" s="65">
        <v>2250335</v>
      </c>
    </row>
    <row r="41" spans="1:6" x14ac:dyDescent="0.55000000000000004">
      <c r="A41" s="43" t="s">
        <v>29</v>
      </c>
      <c r="B41" s="43" t="s">
        <v>122</v>
      </c>
      <c r="C41" s="65"/>
      <c r="D41" s="65">
        <v>295200</v>
      </c>
      <c r="E41" s="65"/>
      <c r="F41" s="65">
        <v>295200</v>
      </c>
    </row>
    <row r="42" spans="1:6" x14ac:dyDescent="0.55000000000000004">
      <c r="A42" s="43" t="s">
        <v>29</v>
      </c>
      <c r="B42" s="43" t="s">
        <v>147</v>
      </c>
      <c r="C42" s="65"/>
      <c r="D42" s="65">
        <v>221200</v>
      </c>
      <c r="E42" s="65"/>
      <c r="F42" s="65">
        <v>221200</v>
      </c>
    </row>
    <row r="43" spans="1:6" x14ac:dyDescent="0.55000000000000004">
      <c r="A43" s="43" t="s">
        <v>29</v>
      </c>
      <c r="B43" s="43" t="s">
        <v>149</v>
      </c>
      <c r="C43" s="65"/>
      <c r="D43" s="65">
        <v>226700</v>
      </c>
      <c r="E43" s="65"/>
      <c r="F43" s="65">
        <v>226700</v>
      </c>
    </row>
    <row r="44" spans="1:6" x14ac:dyDescent="0.55000000000000004">
      <c r="A44" s="43" t="s">
        <v>29</v>
      </c>
      <c r="B44" s="43" t="s">
        <v>165</v>
      </c>
      <c r="C44" s="65"/>
      <c r="D44" s="65">
        <v>545900</v>
      </c>
      <c r="E44" s="65"/>
      <c r="F44" s="65">
        <v>545900</v>
      </c>
    </row>
    <row r="45" spans="1:6" x14ac:dyDescent="0.55000000000000004">
      <c r="A45" s="43" t="s">
        <v>29</v>
      </c>
      <c r="B45" s="43" t="s">
        <v>123</v>
      </c>
      <c r="C45" s="65"/>
      <c r="D45" s="65">
        <v>155600</v>
      </c>
      <c r="E45" s="65"/>
      <c r="F45" s="65">
        <v>155600</v>
      </c>
    </row>
    <row r="46" spans="1:6" x14ac:dyDescent="0.55000000000000004">
      <c r="A46" s="43" t="s">
        <v>29</v>
      </c>
      <c r="B46" s="43" t="s">
        <v>105</v>
      </c>
      <c r="C46" s="65"/>
      <c r="D46" s="65">
        <v>387500</v>
      </c>
      <c r="E46" s="65"/>
      <c r="F46" s="65">
        <v>387500</v>
      </c>
    </row>
    <row r="47" spans="1:6" x14ac:dyDescent="0.55000000000000004">
      <c r="A47" s="43" t="s">
        <v>29</v>
      </c>
      <c r="B47" s="43" t="s">
        <v>117</v>
      </c>
      <c r="C47" s="65"/>
      <c r="D47" s="65">
        <v>357400</v>
      </c>
      <c r="E47" s="65"/>
      <c r="F47" s="65">
        <v>357400</v>
      </c>
    </row>
    <row r="48" spans="1:6" x14ac:dyDescent="0.55000000000000004">
      <c r="A48" s="43" t="s">
        <v>29</v>
      </c>
      <c r="B48" s="43" t="s">
        <v>146</v>
      </c>
      <c r="C48" s="65"/>
      <c r="D48" s="65">
        <v>140000</v>
      </c>
      <c r="E48" s="65"/>
      <c r="F48" s="65">
        <v>140000</v>
      </c>
    </row>
    <row r="49" spans="1:6" x14ac:dyDescent="0.55000000000000004">
      <c r="A49" s="43" t="s">
        <v>29</v>
      </c>
      <c r="B49" s="43" t="s">
        <v>131</v>
      </c>
      <c r="C49" s="65"/>
      <c r="D49" s="65">
        <v>55950</v>
      </c>
      <c r="E49" s="65"/>
      <c r="F49" s="65">
        <v>55950</v>
      </c>
    </row>
    <row r="50" spans="1:6" x14ac:dyDescent="0.55000000000000004">
      <c r="A50" s="43" t="s">
        <v>29</v>
      </c>
      <c r="B50" s="43" t="s">
        <v>148</v>
      </c>
      <c r="C50" s="65"/>
      <c r="D50" s="65">
        <v>115600</v>
      </c>
      <c r="E50" s="65"/>
      <c r="F50" s="65">
        <v>115600</v>
      </c>
    </row>
    <row r="51" spans="1:6" x14ac:dyDescent="0.55000000000000004">
      <c r="A51" s="43" t="s">
        <v>29</v>
      </c>
      <c r="B51" s="43" t="s">
        <v>124</v>
      </c>
      <c r="C51" s="65"/>
      <c r="D51" s="65"/>
      <c r="E51" s="65">
        <v>1058650</v>
      </c>
      <c r="F51" s="65">
        <v>-1058650</v>
      </c>
    </row>
    <row r="52" spans="1:6" x14ac:dyDescent="0.55000000000000004">
      <c r="A52" s="43" t="s">
        <v>29</v>
      </c>
      <c r="B52" s="43" t="s">
        <v>110</v>
      </c>
      <c r="C52" s="65"/>
      <c r="D52" s="65"/>
      <c r="E52" s="65">
        <v>364500</v>
      </c>
      <c r="F52" s="65">
        <v>-364500</v>
      </c>
    </row>
    <row r="53" spans="1:6" x14ac:dyDescent="0.55000000000000004">
      <c r="A53" s="43" t="s">
        <v>179</v>
      </c>
      <c r="C53" s="65">
        <v>2250335</v>
      </c>
      <c r="D53" s="65">
        <v>3253750</v>
      </c>
      <c r="E53" s="65">
        <v>1423150</v>
      </c>
      <c r="F53" s="65">
        <v>4080935</v>
      </c>
    </row>
    <row r="54" spans="1:6" x14ac:dyDescent="0.55000000000000004">
      <c r="A54" s="43" t="s">
        <v>77</v>
      </c>
      <c r="B54" s="43" t="s">
        <v>101</v>
      </c>
      <c r="C54" s="65"/>
      <c r="D54" s="65">
        <v>156780</v>
      </c>
      <c r="E54" s="65"/>
      <c r="F54" s="65">
        <v>156780</v>
      </c>
    </row>
    <row r="55" spans="1:6" x14ac:dyDescent="0.55000000000000004">
      <c r="A55" s="43" t="s">
        <v>77</v>
      </c>
      <c r="B55" s="43" t="s">
        <v>136</v>
      </c>
      <c r="C55" s="65"/>
      <c r="D55" s="65">
        <v>72000</v>
      </c>
      <c r="E55" s="65"/>
      <c r="F55" s="65">
        <v>72000</v>
      </c>
    </row>
    <row r="56" spans="1:6" x14ac:dyDescent="0.55000000000000004">
      <c r="A56" s="43" t="s">
        <v>77</v>
      </c>
      <c r="B56" s="43" t="s">
        <v>5</v>
      </c>
      <c r="C56" s="65">
        <v>2250700</v>
      </c>
      <c r="D56" s="65"/>
      <c r="E56" s="65"/>
      <c r="F56" s="65">
        <v>2250700</v>
      </c>
    </row>
    <row r="57" spans="1:6" x14ac:dyDescent="0.55000000000000004">
      <c r="A57" s="43" t="s">
        <v>77</v>
      </c>
      <c r="B57" s="43" t="s">
        <v>120</v>
      </c>
      <c r="C57" s="65"/>
      <c r="D57" s="65">
        <v>118500</v>
      </c>
      <c r="E57" s="65"/>
      <c r="F57" s="65">
        <v>118500</v>
      </c>
    </row>
    <row r="58" spans="1:6" x14ac:dyDescent="0.55000000000000004">
      <c r="A58" s="43" t="s">
        <v>77</v>
      </c>
      <c r="B58" s="43" t="s">
        <v>121</v>
      </c>
      <c r="C58" s="65"/>
      <c r="D58" s="65">
        <v>99000</v>
      </c>
      <c r="E58" s="65"/>
      <c r="F58" s="65">
        <v>99000</v>
      </c>
    </row>
    <row r="59" spans="1:6" x14ac:dyDescent="0.55000000000000004">
      <c r="A59" s="43" t="s">
        <v>77</v>
      </c>
      <c r="B59" s="43" t="s">
        <v>125</v>
      </c>
      <c r="C59" s="65"/>
      <c r="D59" s="65"/>
      <c r="E59" s="65">
        <v>1000000</v>
      </c>
      <c r="F59" s="65">
        <v>-1000000</v>
      </c>
    </row>
    <row r="60" spans="1:6" x14ac:dyDescent="0.55000000000000004">
      <c r="A60" s="43" t="s">
        <v>180</v>
      </c>
      <c r="C60" s="65">
        <v>2250700</v>
      </c>
      <c r="D60" s="65">
        <v>446280</v>
      </c>
      <c r="E60" s="65">
        <v>1000000</v>
      </c>
      <c r="F60" s="65">
        <v>1696980</v>
      </c>
    </row>
    <row r="61" spans="1:6" x14ac:dyDescent="0.55000000000000004">
      <c r="A61" s="43" t="s">
        <v>58</v>
      </c>
      <c r="B61" s="43" t="s">
        <v>135</v>
      </c>
      <c r="C61" s="65"/>
      <c r="D61" s="65">
        <v>693900</v>
      </c>
      <c r="E61" s="65"/>
      <c r="F61" s="65">
        <v>693900</v>
      </c>
    </row>
    <row r="62" spans="1:6" x14ac:dyDescent="0.55000000000000004">
      <c r="A62" s="43" t="s">
        <v>58</v>
      </c>
      <c r="B62" s="43" t="s">
        <v>114</v>
      </c>
      <c r="C62" s="65"/>
      <c r="D62" s="65">
        <v>145800</v>
      </c>
      <c r="E62" s="65"/>
      <c r="F62" s="65">
        <v>145800</v>
      </c>
    </row>
    <row r="63" spans="1:6" x14ac:dyDescent="0.55000000000000004">
      <c r="A63" s="43" t="s">
        <v>58</v>
      </c>
      <c r="B63" s="43" t="s">
        <v>5</v>
      </c>
      <c r="C63" s="65">
        <v>2184122</v>
      </c>
      <c r="D63" s="65"/>
      <c r="E63" s="65"/>
      <c r="F63" s="65">
        <v>2184122</v>
      </c>
    </row>
    <row r="64" spans="1:6" x14ac:dyDescent="0.55000000000000004">
      <c r="A64" s="43" t="s">
        <v>58</v>
      </c>
      <c r="B64" s="43" t="s">
        <v>124</v>
      </c>
      <c r="C64" s="65"/>
      <c r="D64" s="65"/>
      <c r="E64" s="65">
        <v>2603672</v>
      </c>
      <c r="F64" s="65">
        <v>-2603672</v>
      </c>
    </row>
    <row r="65" spans="1:6" x14ac:dyDescent="0.55000000000000004">
      <c r="A65" s="43" t="s">
        <v>58</v>
      </c>
      <c r="B65" s="43" t="s">
        <v>113</v>
      </c>
      <c r="C65" s="65"/>
      <c r="D65" s="65">
        <v>318000</v>
      </c>
      <c r="E65" s="65"/>
      <c r="F65" s="65">
        <v>318000</v>
      </c>
    </row>
    <row r="66" spans="1:6" x14ac:dyDescent="0.55000000000000004">
      <c r="A66" s="43" t="s">
        <v>181</v>
      </c>
      <c r="C66" s="65">
        <v>2184122</v>
      </c>
      <c r="D66" s="65">
        <v>1157700</v>
      </c>
      <c r="E66" s="65">
        <v>2603672</v>
      </c>
      <c r="F66" s="65">
        <v>738150</v>
      </c>
    </row>
    <row r="67" spans="1:6" x14ac:dyDescent="0.55000000000000004">
      <c r="A67" s="43" t="s">
        <v>42</v>
      </c>
      <c r="B67" s="43" t="s">
        <v>5</v>
      </c>
      <c r="C67" s="65">
        <v>35000</v>
      </c>
      <c r="D67" s="65"/>
      <c r="E67" s="65"/>
      <c r="F67" s="65">
        <v>35000</v>
      </c>
    </row>
    <row r="68" spans="1:6" x14ac:dyDescent="0.55000000000000004">
      <c r="A68" s="43" t="s">
        <v>42</v>
      </c>
      <c r="B68" s="43" t="s">
        <v>129</v>
      </c>
      <c r="C68" s="65"/>
      <c r="D68" s="65">
        <v>87500</v>
      </c>
      <c r="E68" s="65"/>
      <c r="F68" s="65">
        <v>87500</v>
      </c>
    </row>
    <row r="69" spans="1:6" x14ac:dyDescent="0.55000000000000004">
      <c r="A69" s="43" t="s">
        <v>42</v>
      </c>
      <c r="B69" s="43" t="s">
        <v>119</v>
      </c>
      <c r="C69" s="65"/>
      <c r="D69" s="65">
        <v>17500</v>
      </c>
      <c r="E69" s="65"/>
      <c r="F69" s="65">
        <v>17500</v>
      </c>
    </row>
    <row r="70" spans="1:6" x14ac:dyDescent="0.55000000000000004">
      <c r="A70" s="43" t="s">
        <v>42</v>
      </c>
      <c r="B70" s="43" t="s">
        <v>125</v>
      </c>
      <c r="C70" s="65"/>
      <c r="D70" s="65"/>
      <c r="E70" s="65">
        <v>140000</v>
      </c>
      <c r="F70" s="65">
        <v>-140000</v>
      </c>
    </row>
    <row r="71" spans="1:6" x14ac:dyDescent="0.55000000000000004">
      <c r="A71" s="43" t="s">
        <v>182</v>
      </c>
      <c r="C71" s="65">
        <v>35000</v>
      </c>
      <c r="D71" s="65">
        <v>105000</v>
      </c>
      <c r="E71" s="65">
        <v>140000</v>
      </c>
      <c r="F71" s="65">
        <v>0</v>
      </c>
    </row>
    <row r="72" spans="1:6" x14ac:dyDescent="0.55000000000000004">
      <c r="A72" s="43" t="s">
        <v>78</v>
      </c>
      <c r="B72" s="43" t="s">
        <v>154</v>
      </c>
      <c r="C72" s="65"/>
      <c r="D72" s="65">
        <v>16000</v>
      </c>
      <c r="E72" s="65"/>
      <c r="F72" s="65">
        <v>16000</v>
      </c>
    </row>
    <row r="73" spans="1:6" x14ac:dyDescent="0.55000000000000004">
      <c r="A73" s="43" t="s">
        <v>78</v>
      </c>
      <c r="B73" s="43" t="s">
        <v>99</v>
      </c>
      <c r="C73" s="65"/>
      <c r="D73" s="65">
        <v>62000</v>
      </c>
      <c r="E73" s="65"/>
      <c r="F73" s="65">
        <v>62000</v>
      </c>
    </row>
    <row r="74" spans="1:6" x14ac:dyDescent="0.55000000000000004">
      <c r="A74" s="43" t="s">
        <v>78</v>
      </c>
      <c r="B74" s="43" t="s">
        <v>158</v>
      </c>
      <c r="C74" s="65"/>
      <c r="D74" s="65">
        <v>250200</v>
      </c>
      <c r="E74" s="65"/>
      <c r="F74" s="65">
        <v>250200</v>
      </c>
    </row>
    <row r="75" spans="1:6" x14ac:dyDescent="0.55000000000000004">
      <c r="A75" s="43" t="s">
        <v>78</v>
      </c>
      <c r="B75" s="43" t="s">
        <v>140</v>
      </c>
      <c r="C75" s="65"/>
      <c r="D75" s="65">
        <v>119500</v>
      </c>
      <c r="E75" s="65"/>
      <c r="F75" s="65">
        <v>119500</v>
      </c>
    </row>
    <row r="76" spans="1:6" x14ac:dyDescent="0.55000000000000004">
      <c r="A76" s="43" t="s">
        <v>78</v>
      </c>
      <c r="B76" s="43" t="s">
        <v>111</v>
      </c>
      <c r="C76" s="65"/>
      <c r="D76" s="65">
        <v>17250</v>
      </c>
      <c r="E76" s="65"/>
      <c r="F76" s="65">
        <v>17250</v>
      </c>
    </row>
    <row r="77" spans="1:6" x14ac:dyDescent="0.55000000000000004">
      <c r="A77" s="43" t="s">
        <v>78</v>
      </c>
      <c r="B77" s="43" t="s">
        <v>5</v>
      </c>
      <c r="C77" s="65">
        <v>132500</v>
      </c>
      <c r="D77" s="65"/>
      <c r="E77" s="65"/>
      <c r="F77" s="65">
        <v>132500</v>
      </c>
    </row>
    <row r="78" spans="1:6" x14ac:dyDescent="0.55000000000000004">
      <c r="A78" s="43" t="s">
        <v>78</v>
      </c>
      <c r="B78" s="43" t="s">
        <v>110</v>
      </c>
      <c r="C78" s="65"/>
      <c r="D78" s="65"/>
      <c r="E78" s="65">
        <v>597450</v>
      </c>
      <c r="F78" s="65">
        <v>-597450</v>
      </c>
    </row>
    <row r="79" spans="1:6" x14ac:dyDescent="0.55000000000000004">
      <c r="A79" s="43" t="s">
        <v>183</v>
      </c>
      <c r="C79" s="65">
        <v>132500</v>
      </c>
      <c r="D79" s="65">
        <v>464950</v>
      </c>
      <c r="E79" s="65">
        <v>597450</v>
      </c>
      <c r="F79" s="65">
        <v>0</v>
      </c>
    </row>
    <row r="80" spans="1:6" x14ac:dyDescent="0.55000000000000004">
      <c r="A80" s="43" t="s">
        <v>44</v>
      </c>
      <c r="B80" s="43" t="s">
        <v>5</v>
      </c>
      <c r="C80" s="65">
        <v>2208992</v>
      </c>
      <c r="D80" s="65"/>
      <c r="E80" s="65"/>
      <c r="F80" s="65">
        <v>2208992</v>
      </c>
    </row>
    <row r="81" spans="1:6" x14ac:dyDescent="0.55000000000000004">
      <c r="A81" s="43" t="s">
        <v>184</v>
      </c>
      <c r="C81" s="65">
        <v>2208992</v>
      </c>
      <c r="D81" s="65"/>
      <c r="E81" s="65"/>
      <c r="F81" s="65">
        <v>2208992</v>
      </c>
    </row>
    <row r="82" spans="1:6" x14ac:dyDescent="0.55000000000000004">
      <c r="A82" s="43" t="s">
        <v>79</v>
      </c>
      <c r="B82" s="43" t="s">
        <v>161</v>
      </c>
      <c r="C82" s="65"/>
      <c r="D82" s="65">
        <v>3948750</v>
      </c>
      <c r="E82" s="65"/>
      <c r="F82" s="65">
        <v>3948750</v>
      </c>
    </row>
    <row r="83" spans="1:6" x14ac:dyDescent="0.55000000000000004">
      <c r="A83" s="43" t="s">
        <v>79</v>
      </c>
      <c r="B83" s="43" t="s">
        <v>5</v>
      </c>
      <c r="C83" s="65">
        <v>1809460</v>
      </c>
      <c r="D83" s="65"/>
      <c r="E83" s="65"/>
      <c r="F83" s="65">
        <v>1809460</v>
      </c>
    </row>
    <row r="84" spans="1:6" x14ac:dyDescent="0.55000000000000004">
      <c r="A84" s="43" t="s">
        <v>79</v>
      </c>
      <c r="B84" s="43" t="s">
        <v>163</v>
      </c>
      <c r="C84" s="65"/>
      <c r="D84" s="65"/>
      <c r="E84" s="65">
        <v>300000</v>
      </c>
      <c r="F84" s="65">
        <v>-300000</v>
      </c>
    </row>
    <row r="85" spans="1:6" x14ac:dyDescent="0.55000000000000004">
      <c r="A85" s="43" t="s">
        <v>79</v>
      </c>
      <c r="B85" s="43" t="s">
        <v>141</v>
      </c>
      <c r="C85" s="65"/>
      <c r="D85" s="65">
        <v>740000</v>
      </c>
      <c r="E85" s="65"/>
      <c r="F85" s="65">
        <v>740000</v>
      </c>
    </row>
    <row r="86" spans="1:6" x14ac:dyDescent="0.55000000000000004">
      <c r="A86" s="43" t="s">
        <v>79</v>
      </c>
      <c r="B86" s="43" t="s">
        <v>112</v>
      </c>
      <c r="C86" s="65"/>
      <c r="D86" s="65">
        <v>20000</v>
      </c>
      <c r="E86" s="65"/>
      <c r="F86" s="65">
        <v>20000</v>
      </c>
    </row>
    <row r="87" spans="1:6" x14ac:dyDescent="0.55000000000000004">
      <c r="A87" s="43" t="s">
        <v>79</v>
      </c>
      <c r="B87" s="43" t="s">
        <v>125</v>
      </c>
      <c r="C87" s="65"/>
      <c r="D87" s="65"/>
      <c r="E87" s="65">
        <v>3440000</v>
      </c>
      <c r="F87" s="65">
        <v>-3440000</v>
      </c>
    </row>
    <row r="88" spans="1:6" x14ac:dyDescent="0.55000000000000004">
      <c r="A88" s="43" t="s">
        <v>185</v>
      </c>
      <c r="C88" s="65">
        <v>1809460</v>
      </c>
      <c r="D88" s="65">
        <v>4708750</v>
      </c>
      <c r="E88" s="65">
        <v>3740000</v>
      </c>
      <c r="F88" s="65">
        <v>2778210</v>
      </c>
    </row>
    <row r="89" spans="1:6" x14ac:dyDescent="0.55000000000000004">
      <c r="A89" s="43" t="s">
        <v>80</v>
      </c>
      <c r="B89" s="43" t="s">
        <v>5</v>
      </c>
      <c r="C89" s="65">
        <v>2754773</v>
      </c>
      <c r="D89" s="65"/>
      <c r="E89" s="65"/>
      <c r="F89" s="65">
        <v>2754773</v>
      </c>
    </row>
    <row r="90" spans="1:6" x14ac:dyDescent="0.55000000000000004">
      <c r="A90" s="43" t="s">
        <v>186</v>
      </c>
      <c r="C90" s="65">
        <v>2754773</v>
      </c>
      <c r="D90" s="65"/>
      <c r="E90" s="65"/>
      <c r="F90" s="65">
        <v>2754773</v>
      </c>
    </row>
    <row r="91" spans="1:6" x14ac:dyDescent="0.55000000000000004">
      <c r="A91" s="43" t="s">
        <v>48</v>
      </c>
      <c r="B91" s="43" t="s">
        <v>153</v>
      </c>
      <c r="C91" s="65"/>
      <c r="D91" s="65">
        <v>192000</v>
      </c>
      <c r="E91" s="65"/>
      <c r="F91" s="65">
        <v>192000</v>
      </c>
    </row>
    <row r="92" spans="1:6" x14ac:dyDescent="0.55000000000000004">
      <c r="A92" s="43" t="s">
        <v>48</v>
      </c>
      <c r="B92" s="43" t="s">
        <v>132</v>
      </c>
      <c r="C92" s="65"/>
      <c r="D92" s="65">
        <v>2100000</v>
      </c>
      <c r="E92" s="65"/>
      <c r="F92" s="65">
        <v>2100000</v>
      </c>
    </row>
    <row r="93" spans="1:6" x14ac:dyDescent="0.55000000000000004">
      <c r="A93" s="43" t="s">
        <v>48</v>
      </c>
      <c r="B93" s="43" t="s">
        <v>5</v>
      </c>
      <c r="C93" s="65">
        <v>5934500</v>
      </c>
      <c r="D93" s="65"/>
      <c r="E93" s="65"/>
      <c r="F93" s="65">
        <v>5934500</v>
      </c>
    </row>
    <row r="94" spans="1:6" x14ac:dyDescent="0.55000000000000004">
      <c r="A94" s="43" t="s">
        <v>48</v>
      </c>
      <c r="B94" s="43" t="s">
        <v>133</v>
      </c>
      <c r="C94" s="65"/>
      <c r="D94" s="65">
        <v>1910000</v>
      </c>
      <c r="E94" s="65"/>
      <c r="F94" s="65">
        <v>1910000</v>
      </c>
    </row>
    <row r="95" spans="1:6" x14ac:dyDescent="0.55000000000000004">
      <c r="A95" s="43" t="s">
        <v>48</v>
      </c>
      <c r="B95" s="43" t="s">
        <v>157</v>
      </c>
      <c r="C95" s="65"/>
      <c r="D95" s="65"/>
      <c r="E95" s="65">
        <v>634000</v>
      </c>
      <c r="F95" s="65">
        <v>-634000</v>
      </c>
    </row>
    <row r="96" spans="1:6" x14ac:dyDescent="0.55000000000000004">
      <c r="A96" s="43" t="s">
        <v>48</v>
      </c>
      <c r="B96" s="43" t="s">
        <v>125</v>
      </c>
      <c r="C96" s="65"/>
      <c r="D96" s="65"/>
      <c r="E96" s="65">
        <v>4000000</v>
      </c>
      <c r="F96" s="65">
        <v>-4000000</v>
      </c>
    </row>
    <row r="97" spans="1:6" x14ac:dyDescent="0.55000000000000004">
      <c r="A97" s="43" t="s">
        <v>187</v>
      </c>
      <c r="C97" s="65">
        <v>5934500</v>
      </c>
      <c r="D97" s="65">
        <v>4202000</v>
      </c>
      <c r="E97" s="65">
        <v>4634000</v>
      </c>
      <c r="F97" s="65">
        <v>5502500</v>
      </c>
    </row>
    <row r="98" spans="1:6" x14ac:dyDescent="0.55000000000000004">
      <c r="A98" s="43" t="s">
        <v>50</v>
      </c>
      <c r="B98" s="43" t="s">
        <v>5</v>
      </c>
      <c r="C98" s="65"/>
      <c r="D98" s="65"/>
      <c r="E98" s="65"/>
      <c r="F98" s="65">
        <v>0</v>
      </c>
    </row>
    <row r="99" spans="1:6" x14ac:dyDescent="0.55000000000000004">
      <c r="A99" s="43" t="s">
        <v>50</v>
      </c>
      <c r="B99" s="43" t="s">
        <v>100</v>
      </c>
      <c r="C99" s="65"/>
      <c r="D99" s="65">
        <v>117000.01</v>
      </c>
      <c r="E99" s="65"/>
      <c r="F99" s="65">
        <v>117000.01</v>
      </c>
    </row>
    <row r="100" spans="1:6" x14ac:dyDescent="0.55000000000000004">
      <c r="A100" s="43" t="s">
        <v>188</v>
      </c>
      <c r="C100" s="65"/>
      <c r="D100" s="65">
        <v>117000.01</v>
      </c>
      <c r="E100" s="65"/>
      <c r="F100" s="65">
        <v>117000.01</v>
      </c>
    </row>
    <row r="101" spans="1:6" x14ac:dyDescent="0.55000000000000004">
      <c r="A101" s="43" t="s">
        <v>65</v>
      </c>
      <c r="B101" s="43">
        <v>6207</v>
      </c>
      <c r="C101" s="65"/>
      <c r="D101" s="65">
        <v>190950</v>
      </c>
      <c r="E101" s="65"/>
      <c r="F101" s="65">
        <v>190950</v>
      </c>
    </row>
    <row r="102" spans="1:6" x14ac:dyDescent="0.55000000000000004">
      <c r="A102" s="43" t="s">
        <v>65</v>
      </c>
      <c r="B102" s="43" t="s">
        <v>109</v>
      </c>
      <c r="C102" s="65"/>
      <c r="D102" s="65">
        <v>269400</v>
      </c>
      <c r="E102" s="65"/>
      <c r="F102" s="65">
        <v>269400</v>
      </c>
    </row>
    <row r="103" spans="1:6" x14ac:dyDescent="0.55000000000000004">
      <c r="A103" s="43" t="s">
        <v>65</v>
      </c>
      <c r="B103" s="43" t="s">
        <v>151</v>
      </c>
      <c r="C103" s="65"/>
      <c r="D103" s="65">
        <v>18500</v>
      </c>
      <c r="E103" s="65"/>
      <c r="F103" s="65">
        <v>18500</v>
      </c>
    </row>
    <row r="104" spans="1:6" x14ac:dyDescent="0.55000000000000004">
      <c r="A104" s="43" t="s">
        <v>65</v>
      </c>
      <c r="B104" s="43" t="s">
        <v>5</v>
      </c>
      <c r="C104" s="65"/>
      <c r="D104" s="65"/>
      <c r="E104" s="65"/>
      <c r="F104" s="65">
        <v>0</v>
      </c>
    </row>
    <row r="105" spans="1:6" x14ac:dyDescent="0.55000000000000004">
      <c r="A105" s="43" t="s">
        <v>65</v>
      </c>
      <c r="B105" s="43" t="s">
        <v>110</v>
      </c>
      <c r="C105" s="65"/>
      <c r="D105" s="65"/>
      <c r="E105" s="65">
        <v>453540</v>
      </c>
      <c r="F105" s="65">
        <v>-453540</v>
      </c>
    </row>
    <row r="106" spans="1:6" x14ac:dyDescent="0.55000000000000004">
      <c r="A106" s="43" t="s">
        <v>65</v>
      </c>
      <c r="B106" s="43" t="s">
        <v>150</v>
      </c>
      <c r="C106" s="65"/>
      <c r="D106" s="65">
        <v>165640</v>
      </c>
      <c r="E106" s="65"/>
      <c r="F106" s="65">
        <v>165640</v>
      </c>
    </row>
    <row r="107" spans="1:6" x14ac:dyDescent="0.55000000000000004">
      <c r="A107" s="43" t="s">
        <v>189</v>
      </c>
      <c r="C107" s="65"/>
      <c r="D107" s="65">
        <v>644490</v>
      </c>
      <c r="E107" s="65">
        <v>453540</v>
      </c>
      <c r="F107" s="65">
        <v>190950</v>
      </c>
    </row>
    <row r="108" spans="1:6" x14ac:dyDescent="0.55000000000000004">
      <c r="A108" s="43" t="s">
        <v>81</v>
      </c>
      <c r="B108" s="43" t="s">
        <v>5</v>
      </c>
      <c r="C108" s="65">
        <v>1145500</v>
      </c>
      <c r="D108" s="65"/>
      <c r="E108" s="65"/>
      <c r="F108" s="65">
        <v>1145500</v>
      </c>
    </row>
    <row r="109" spans="1:6" x14ac:dyDescent="0.55000000000000004">
      <c r="A109" s="43" t="s">
        <v>190</v>
      </c>
      <c r="C109" s="65">
        <v>1145500</v>
      </c>
      <c r="D109" s="65"/>
      <c r="E109" s="65"/>
      <c r="F109" s="65">
        <v>1145500</v>
      </c>
    </row>
    <row r="110" spans="1:6" x14ac:dyDescent="0.55000000000000004">
      <c r="A110" s="43" t="s">
        <v>82</v>
      </c>
      <c r="B110" s="43" t="s">
        <v>5</v>
      </c>
      <c r="C110" s="65">
        <v>143000</v>
      </c>
      <c r="D110" s="65"/>
      <c r="E110" s="65"/>
      <c r="F110" s="65">
        <v>143000</v>
      </c>
    </row>
    <row r="111" spans="1:6" x14ac:dyDescent="0.55000000000000004">
      <c r="A111" s="43" t="s">
        <v>191</v>
      </c>
      <c r="C111" s="65">
        <v>143000</v>
      </c>
      <c r="D111" s="65"/>
      <c r="E111" s="65"/>
      <c r="F111" s="65">
        <v>143000</v>
      </c>
    </row>
    <row r="112" spans="1:6" x14ac:dyDescent="0.55000000000000004">
      <c r="A112" s="43" t="s">
        <v>56</v>
      </c>
      <c r="B112" s="43" t="s">
        <v>126</v>
      </c>
      <c r="C112" s="65"/>
      <c r="D112" s="65">
        <v>188818</v>
      </c>
      <c r="E112" s="65"/>
      <c r="F112" s="65">
        <v>188818</v>
      </c>
    </row>
    <row r="113" spans="1:6" x14ac:dyDescent="0.55000000000000004">
      <c r="A113" s="43" t="s">
        <v>56</v>
      </c>
      <c r="B113" s="43" t="s">
        <v>162</v>
      </c>
      <c r="C113" s="65"/>
      <c r="D113" s="65">
        <v>143560</v>
      </c>
      <c r="E113" s="65"/>
      <c r="F113" s="65">
        <v>143560</v>
      </c>
    </row>
    <row r="114" spans="1:6" x14ac:dyDescent="0.55000000000000004">
      <c r="A114" s="43" t="s">
        <v>56</v>
      </c>
      <c r="B114" s="43" t="s">
        <v>118</v>
      </c>
      <c r="C114" s="65"/>
      <c r="D114" s="65">
        <v>51520</v>
      </c>
      <c r="E114" s="65"/>
      <c r="F114" s="65">
        <v>51520</v>
      </c>
    </row>
    <row r="115" spans="1:6" x14ac:dyDescent="0.55000000000000004">
      <c r="A115" s="43" t="s">
        <v>56</v>
      </c>
      <c r="B115" s="43" t="s">
        <v>155</v>
      </c>
      <c r="C115" s="65"/>
      <c r="D115" s="65">
        <v>239450</v>
      </c>
      <c r="E115" s="65"/>
      <c r="F115" s="65">
        <v>239450</v>
      </c>
    </row>
    <row r="116" spans="1:6" x14ac:dyDescent="0.55000000000000004">
      <c r="A116" s="43" t="s">
        <v>56</v>
      </c>
      <c r="B116" s="43" t="s">
        <v>5</v>
      </c>
      <c r="C116" s="65">
        <v>1441917</v>
      </c>
      <c r="D116" s="65"/>
      <c r="E116" s="65"/>
      <c r="F116" s="65">
        <v>1441917</v>
      </c>
    </row>
    <row r="117" spans="1:6" x14ac:dyDescent="0.55000000000000004">
      <c r="A117" s="43" t="s">
        <v>56</v>
      </c>
      <c r="B117" s="43" t="s">
        <v>166</v>
      </c>
      <c r="C117" s="65"/>
      <c r="D117" s="65">
        <v>305365</v>
      </c>
      <c r="E117" s="65"/>
      <c r="F117" s="65">
        <v>305365</v>
      </c>
    </row>
    <row r="118" spans="1:6" x14ac:dyDescent="0.55000000000000004">
      <c r="A118" s="43" t="s">
        <v>56</v>
      </c>
      <c r="B118" s="43" t="s">
        <v>102</v>
      </c>
      <c r="C118" s="65"/>
      <c r="D118" s="65">
        <v>118044</v>
      </c>
      <c r="E118" s="65"/>
      <c r="F118" s="65">
        <v>118044</v>
      </c>
    </row>
    <row r="119" spans="1:6" x14ac:dyDescent="0.55000000000000004">
      <c r="A119" s="43" t="s">
        <v>56</v>
      </c>
      <c r="B119" s="43" t="s">
        <v>137</v>
      </c>
      <c r="C119" s="65"/>
      <c r="D119" s="65">
        <v>373630</v>
      </c>
      <c r="E119" s="65"/>
      <c r="F119" s="65">
        <v>373630</v>
      </c>
    </row>
    <row r="120" spans="1:6" x14ac:dyDescent="0.55000000000000004">
      <c r="A120" s="43" t="s">
        <v>56</v>
      </c>
      <c r="B120" s="43" t="s">
        <v>156</v>
      </c>
      <c r="C120" s="65"/>
      <c r="D120" s="65">
        <v>153821</v>
      </c>
      <c r="E120" s="65"/>
      <c r="F120" s="65">
        <v>153821</v>
      </c>
    </row>
    <row r="121" spans="1:6" x14ac:dyDescent="0.55000000000000004">
      <c r="A121" s="43" t="s">
        <v>56</v>
      </c>
      <c r="B121" s="43" t="s">
        <v>127</v>
      </c>
      <c r="C121" s="65"/>
      <c r="D121" s="65">
        <v>116029</v>
      </c>
      <c r="E121" s="65"/>
      <c r="F121" s="65">
        <v>116029</v>
      </c>
    </row>
    <row r="122" spans="1:6" x14ac:dyDescent="0.55000000000000004">
      <c r="A122" s="43" t="s">
        <v>56</v>
      </c>
      <c r="B122" s="43" t="s">
        <v>103</v>
      </c>
      <c r="C122" s="65"/>
      <c r="D122" s="65">
        <v>179165</v>
      </c>
      <c r="E122" s="65"/>
      <c r="F122" s="65">
        <v>179165</v>
      </c>
    </row>
    <row r="123" spans="1:6" x14ac:dyDescent="0.55000000000000004">
      <c r="A123" s="43" t="s">
        <v>56</v>
      </c>
      <c r="B123" s="43" t="s">
        <v>142</v>
      </c>
      <c r="C123" s="65"/>
      <c r="D123" s="65">
        <v>217311</v>
      </c>
      <c r="E123" s="65"/>
      <c r="F123" s="65">
        <v>217311</v>
      </c>
    </row>
    <row r="124" spans="1:6" x14ac:dyDescent="0.55000000000000004">
      <c r="A124" s="43" t="s">
        <v>56</v>
      </c>
      <c r="B124" s="43" t="s">
        <v>125</v>
      </c>
      <c r="C124" s="65"/>
      <c r="D124" s="65"/>
      <c r="E124" s="65">
        <v>2000000</v>
      </c>
      <c r="F124" s="65">
        <v>-2000000</v>
      </c>
    </row>
    <row r="125" spans="1:6" x14ac:dyDescent="0.55000000000000004">
      <c r="A125" s="43" t="s">
        <v>192</v>
      </c>
      <c r="C125" s="65">
        <v>1441917</v>
      </c>
      <c r="D125" s="65">
        <v>2086713</v>
      </c>
      <c r="E125" s="65">
        <v>2000000</v>
      </c>
      <c r="F125" s="65">
        <v>1528630</v>
      </c>
    </row>
    <row r="126" spans="1:6" x14ac:dyDescent="0.55000000000000004">
      <c r="A126" s="43" t="s">
        <v>159</v>
      </c>
      <c r="B126" s="43" t="s">
        <v>159</v>
      </c>
      <c r="C126" s="65"/>
      <c r="D126" s="65"/>
      <c r="E126" s="65"/>
      <c r="F126" s="65"/>
    </row>
    <row r="127" spans="1:6" x14ac:dyDescent="0.55000000000000004">
      <c r="A127" s="43" t="s">
        <v>193</v>
      </c>
      <c r="C127" s="65"/>
      <c r="D127" s="65"/>
      <c r="E127" s="65"/>
      <c r="F127" s="65"/>
    </row>
    <row r="128" spans="1:6" x14ac:dyDescent="0.55000000000000004">
      <c r="A128" s="43" t="s">
        <v>83</v>
      </c>
      <c r="C128" s="65">
        <v>67257336</v>
      </c>
      <c r="D128" s="65">
        <v>19874924.010000002</v>
      </c>
      <c r="E128" s="65">
        <v>38398701</v>
      </c>
      <c r="F128" s="65">
        <v>48733559.009999998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219"/>
  <sheetViews>
    <sheetView tabSelected="1" topLeftCell="A2" workbookViewId="0">
      <selection activeCell="B4" sqref="B4"/>
    </sheetView>
  </sheetViews>
  <sheetFormatPr defaultRowHeight="21.75" x14ac:dyDescent="0.55000000000000004"/>
  <cols>
    <col min="1" max="1" width="15.140625" style="62" bestFit="1" customWidth="1"/>
    <col min="2" max="2" width="16.28515625" style="43" bestFit="1" customWidth="1"/>
    <col min="3" max="3" width="18.7109375" style="43" bestFit="1" customWidth="1"/>
    <col min="4" max="4" width="25.140625" style="43" bestFit="1" customWidth="1"/>
    <col min="5" max="5" width="56.85546875" style="43" bestFit="1" customWidth="1"/>
    <col min="6" max="6" width="18.7109375" style="43" bestFit="1" customWidth="1"/>
    <col min="7" max="7" width="19.140625" style="43" bestFit="1" customWidth="1"/>
    <col min="8" max="8" width="19" style="43" bestFit="1" customWidth="1"/>
    <col min="9" max="9" width="18" style="43" bestFit="1" customWidth="1"/>
    <col min="10" max="10" width="23" style="43" bestFit="1" customWidth="1"/>
    <col min="11" max="16384" width="9.140625" style="43"/>
  </cols>
  <sheetData>
    <row r="1" spans="1:10" x14ac:dyDescent="0.55000000000000004">
      <c r="A1" s="62" t="s">
        <v>85</v>
      </c>
      <c r="B1" s="49" t="s">
        <v>86</v>
      </c>
      <c r="C1" s="49" t="s">
        <v>87</v>
      </c>
      <c r="D1" s="49" t="s">
        <v>88</v>
      </c>
      <c r="E1" s="49" t="s">
        <v>89</v>
      </c>
      <c r="F1" s="49" t="s">
        <v>90</v>
      </c>
      <c r="G1" s="49" t="s">
        <v>91</v>
      </c>
      <c r="H1" s="49" t="s">
        <v>92</v>
      </c>
      <c r="I1" s="49" t="s">
        <v>93</v>
      </c>
      <c r="J1" s="49" t="s">
        <v>172</v>
      </c>
    </row>
    <row r="2" spans="1:10" x14ac:dyDescent="0.55000000000000004">
      <c r="A2" s="62">
        <v>44287</v>
      </c>
      <c r="B2" s="49"/>
      <c r="C2" s="49" t="s">
        <v>5</v>
      </c>
      <c r="D2" s="49" t="s">
        <v>9</v>
      </c>
      <c r="E2" s="49" t="s">
        <v>5</v>
      </c>
      <c r="F2" s="49">
        <v>630620</v>
      </c>
      <c r="G2" s="49"/>
      <c r="H2" s="49"/>
      <c r="I2" s="49">
        <v>630620</v>
      </c>
      <c r="J2" s="49">
        <v>630620</v>
      </c>
    </row>
    <row r="3" spans="1:10" x14ac:dyDescent="0.55000000000000004">
      <c r="A3" s="62">
        <v>44287</v>
      </c>
      <c r="B3" s="49"/>
      <c r="C3" s="49" t="s">
        <v>5</v>
      </c>
      <c r="D3" s="49" t="s">
        <v>15</v>
      </c>
      <c r="E3" s="49" t="s">
        <v>5</v>
      </c>
      <c r="F3" s="49"/>
      <c r="G3" s="49"/>
      <c r="H3" s="49"/>
      <c r="I3" s="49">
        <v>0</v>
      </c>
      <c r="J3" s="49">
        <v>0</v>
      </c>
    </row>
    <row r="4" spans="1:10" x14ac:dyDescent="0.55000000000000004">
      <c r="A4" s="62">
        <v>44287</v>
      </c>
      <c r="B4" s="49"/>
      <c r="C4" s="49" t="s">
        <v>5</v>
      </c>
      <c r="D4" s="49" t="s">
        <v>18</v>
      </c>
      <c r="E4" s="49" t="s">
        <v>5</v>
      </c>
      <c r="F4" s="49">
        <v>689657</v>
      </c>
      <c r="G4" s="49"/>
      <c r="H4" s="49"/>
      <c r="I4" s="49">
        <v>689657</v>
      </c>
      <c r="J4" s="49">
        <v>689657</v>
      </c>
    </row>
    <row r="5" spans="1:10" x14ac:dyDescent="0.55000000000000004">
      <c r="A5" s="62">
        <v>44292</v>
      </c>
      <c r="B5" s="49">
        <v>20889</v>
      </c>
      <c r="C5" s="49" t="s">
        <v>6</v>
      </c>
      <c r="D5" s="49" t="s">
        <v>18</v>
      </c>
      <c r="E5" s="49" t="s">
        <v>115</v>
      </c>
      <c r="F5" s="49"/>
      <c r="G5" s="49">
        <v>33000</v>
      </c>
      <c r="H5" s="49"/>
      <c r="I5" s="49">
        <v>33000</v>
      </c>
      <c r="J5" s="49">
        <v>722657</v>
      </c>
    </row>
    <row r="6" spans="1:10" x14ac:dyDescent="0.55000000000000004">
      <c r="A6" s="62">
        <v>44292</v>
      </c>
      <c r="B6" s="49">
        <v>48133</v>
      </c>
      <c r="C6" s="49" t="s">
        <v>6</v>
      </c>
      <c r="D6" s="49" t="s">
        <v>18</v>
      </c>
      <c r="E6" s="49" t="s">
        <v>116</v>
      </c>
      <c r="F6" s="49"/>
      <c r="G6" s="49">
        <v>284448</v>
      </c>
      <c r="H6" s="49"/>
      <c r="I6" s="49">
        <v>284448</v>
      </c>
      <c r="J6" s="49">
        <v>1007105</v>
      </c>
    </row>
    <row r="7" spans="1:10" x14ac:dyDescent="0.55000000000000004">
      <c r="A7" s="62">
        <v>44295</v>
      </c>
      <c r="B7" s="49">
        <v>48216</v>
      </c>
      <c r="C7" s="49" t="s">
        <v>6</v>
      </c>
      <c r="D7" s="49" t="s">
        <v>18</v>
      </c>
      <c r="E7" s="49" t="s">
        <v>128</v>
      </c>
      <c r="F7" s="49"/>
      <c r="G7" s="49">
        <v>151784</v>
      </c>
      <c r="H7" s="49"/>
      <c r="I7" s="49">
        <v>151784</v>
      </c>
      <c r="J7" s="49">
        <v>1158889</v>
      </c>
    </row>
    <row r="8" spans="1:10" x14ac:dyDescent="0.55000000000000004">
      <c r="A8" s="62">
        <v>44296</v>
      </c>
      <c r="B8" s="49">
        <v>48229</v>
      </c>
      <c r="C8" s="49" t="s">
        <v>6</v>
      </c>
      <c r="D8" s="49" t="s">
        <v>18</v>
      </c>
      <c r="E8" s="49" t="s">
        <v>128</v>
      </c>
      <c r="F8" s="49"/>
      <c r="G8" s="49">
        <v>89960</v>
      </c>
      <c r="H8" s="49"/>
      <c r="I8" s="49">
        <v>89960</v>
      </c>
      <c r="J8" s="49">
        <v>1248849</v>
      </c>
    </row>
    <row r="9" spans="1:10" x14ac:dyDescent="0.55000000000000004">
      <c r="A9" s="62">
        <v>44305</v>
      </c>
      <c r="B9" s="49"/>
      <c r="C9" s="49" t="s">
        <v>7</v>
      </c>
      <c r="D9" s="49" t="s">
        <v>18</v>
      </c>
      <c r="E9" s="49" t="s">
        <v>134</v>
      </c>
      <c r="F9" s="49"/>
      <c r="G9" s="49"/>
      <c r="H9" s="49">
        <v>1158889</v>
      </c>
      <c r="I9" s="49">
        <v>-1158889</v>
      </c>
      <c r="J9" s="49">
        <v>89960</v>
      </c>
    </row>
    <row r="10" spans="1:10" x14ac:dyDescent="0.55000000000000004">
      <c r="A10" s="62">
        <v>44305</v>
      </c>
      <c r="B10" s="49">
        <v>21107</v>
      </c>
      <c r="C10" s="49" t="s">
        <v>6</v>
      </c>
      <c r="D10" s="49" t="s">
        <v>18</v>
      </c>
      <c r="E10" s="49" t="s">
        <v>138</v>
      </c>
      <c r="F10" s="49"/>
      <c r="G10" s="49">
        <v>39350</v>
      </c>
      <c r="H10" s="49"/>
      <c r="I10" s="49">
        <v>39350</v>
      </c>
      <c r="J10" s="49">
        <v>129310</v>
      </c>
    </row>
    <row r="11" spans="1:10" x14ac:dyDescent="0.55000000000000004">
      <c r="A11" s="62">
        <v>44305</v>
      </c>
      <c r="B11" s="49">
        <v>48243</v>
      </c>
      <c r="C11" s="49" t="s">
        <v>6</v>
      </c>
      <c r="D11" s="49" t="s">
        <v>18</v>
      </c>
      <c r="E11" s="49" t="s">
        <v>139</v>
      </c>
      <c r="F11" s="49"/>
      <c r="G11" s="49">
        <v>39200</v>
      </c>
      <c r="H11" s="49"/>
      <c r="I11" s="49">
        <v>39200</v>
      </c>
      <c r="J11" s="49">
        <v>168510</v>
      </c>
    </row>
    <row r="12" spans="1:10" x14ac:dyDescent="0.55000000000000004">
      <c r="A12" s="62">
        <v>44307</v>
      </c>
      <c r="B12" s="49">
        <v>21112</v>
      </c>
      <c r="C12" s="49" t="s">
        <v>6</v>
      </c>
      <c r="D12" s="49" t="s">
        <v>18</v>
      </c>
      <c r="E12" s="49" t="s">
        <v>143</v>
      </c>
      <c r="F12" s="49"/>
      <c r="G12" s="49">
        <v>44500</v>
      </c>
      <c r="H12" s="49"/>
      <c r="I12" s="49">
        <v>44500</v>
      </c>
      <c r="J12" s="49">
        <v>213010</v>
      </c>
    </row>
    <row r="13" spans="1:10" x14ac:dyDescent="0.55000000000000004">
      <c r="A13" s="62">
        <v>44307</v>
      </c>
      <c r="B13" s="49">
        <v>48303</v>
      </c>
      <c r="C13" s="49" t="s">
        <v>6</v>
      </c>
      <c r="D13" s="49" t="s">
        <v>18</v>
      </c>
      <c r="E13" s="49" t="s">
        <v>144</v>
      </c>
      <c r="F13" s="49"/>
      <c r="G13" s="49">
        <v>317468</v>
      </c>
      <c r="H13" s="49"/>
      <c r="I13" s="49">
        <v>317468</v>
      </c>
      <c r="J13" s="49">
        <v>530478</v>
      </c>
    </row>
    <row r="14" spans="1:10" x14ac:dyDescent="0.55000000000000004">
      <c r="A14" s="62">
        <v>44307</v>
      </c>
      <c r="B14" s="49">
        <v>48293</v>
      </c>
      <c r="C14" s="49" t="s">
        <v>6</v>
      </c>
      <c r="D14" s="49" t="s">
        <v>18</v>
      </c>
      <c r="E14" s="49" t="s">
        <v>145</v>
      </c>
      <c r="F14" s="49"/>
      <c r="G14" s="49">
        <v>88595</v>
      </c>
      <c r="H14" s="49"/>
      <c r="I14" s="49">
        <v>88595</v>
      </c>
      <c r="J14" s="49">
        <v>619073</v>
      </c>
    </row>
    <row r="15" spans="1:10" x14ac:dyDescent="0.55000000000000004">
      <c r="A15" s="62">
        <v>44309</v>
      </c>
      <c r="B15" s="49">
        <v>48318</v>
      </c>
      <c r="C15" s="49" t="s">
        <v>6</v>
      </c>
      <c r="D15" s="49" t="s">
        <v>18</v>
      </c>
      <c r="E15" s="49" t="s">
        <v>152</v>
      </c>
      <c r="F15" s="49"/>
      <c r="G15" s="49">
        <v>335305</v>
      </c>
      <c r="H15" s="49"/>
      <c r="I15" s="49">
        <v>335305</v>
      </c>
      <c r="J15" s="49">
        <v>954378</v>
      </c>
    </row>
    <row r="16" spans="1:10" x14ac:dyDescent="0.55000000000000004">
      <c r="A16" s="62">
        <v>44310</v>
      </c>
      <c r="B16" s="49">
        <v>48355</v>
      </c>
      <c r="C16" s="49" t="s">
        <v>6</v>
      </c>
      <c r="D16" s="49" t="s">
        <v>18</v>
      </c>
      <c r="E16" s="49" t="s">
        <v>168</v>
      </c>
      <c r="F16" s="49"/>
      <c r="G16" s="49">
        <v>154680</v>
      </c>
      <c r="H16" s="49"/>
      <c r="I16" s="49">
        <v>154680</v>
      </c>
      <c r="J16" s="49">
        <v>1109058</v>
      </c>
    </row>
    <row r="17" spans="1:10" x14ac:dyDescent="0.55000000000000004">
      <c r="A17" s="62">
        <v>44313</v>
      </c>
      <c r="B17" s="49">
        <v>48408</v>
      </c>
      <c r="C17" s="49" t="s">
        <v>6</v>
      </c>
      <c r="D17" s="49" t="s">
        <v>18</v>
      </c>
      <c r="E17" s="49" t="s">
        <v>167</v>
      </c>
      <c r="F17" s="49"/>
      <c r="G17" s="49">
        <v>98381</v>
      </c>
      <c r="H17" s="49"/>
      <c r="I17" s="49">
        <v>98381</v>
      </c>
      <c r="J17" s="49">
        <v>1207439</v>
      </c>
    </row>
    <row r="18" spans="1:10" x14ac:dyDescent="0.55000000000000004">
      <c r="A18" s="62">
        <v>44314</v>
      </c>
      <c r="B18" s="49">
        <v>48416</v>
      </c>
      <c r="C18" s="49" t="s">
        <v>6</v>
      </c>
      <c r="D18" s="49" t="s">
        <v>18</v>
      </c>
      <c r="E18" s="49" t="s">
        <v>169</v>
      </c>
      <c r="F18" s="49"/>
      <c r="G18" s="49">
        <v>288920</v>
      </c>
      <c r="H18" s="49"/>
      <c r="I18" s="49">
        <v>288920</v>
      </c>
      <c r="J18" s="49">
        <v>1496359</v>
      </c>
    </row>
    <row r="19" spans="1:10" x14ac:dyDescent="0.55000000000000004">
      <c r="A19" s="62">
        <v>44287</v>
      </c>
      <c r="B19" s="49"/>
      <c r="C19" s="49" t="s">
        <v>5</v>
      </c>
      <c r="D19" s="49" t="s">
        <v>74</v>
      </c>
      <c r="E19" s="49" t="s">
        <v>5</v>
      </c>
      <c r="F19" s="49">
        <v>829260</v>
      </c>
      <c r="G19" s="49"/>
      <c r="H19" s="49"/>
      <c r="I19" s="49">
        <v>829260</v>
      </c>
      <c r="J19" s="49">
        <v>829260</v>
      </c>
    </row>
    <row r="20" spans="1:10" x14ac:dyDescent="0.55000000000000004">
      <c r="A20" s="62">
        <v>44291</v>
      </c>
      <c r="B20" s="49">
        <v>40114</v>
      </c>
      <c r="C20" s="49" t="s">
        <v>7</v>
      </c>
      <c r="D20" s="49" t="s">
        <v>74</v>
      </c>
      <c r="E20" s="49" t="s">
        <v>107</v>
      </c>
      <c r="F20" s="49"/>
      <c r="G20" s="49"/>
      <c r="H20" s="49">
        <v>200000</v>
      </c>
      <c r="I20" s="49">
        <v>-200000</v>
      </c>
      <c r="J20" s="49">
        <v>629260</v>
      </c>
    </row>
    <row r="21" spans="1:10" x14ac:dyDescent="0.55000000000000004">
      <c r="A21" s="62">
        <v>44291</v>
      </c>
      <c r="B21" s="49">
        <v>45275</v>
      </c>
      <c r="C21" s="49" t="s">
        <v>6</v>
      </c>
      <c r="D21" s="49" t="s">
        <v>74</v>
      </c>
      <c r="E21" s="49" t="s">
        <v>106</v>
      </c>
      <c r="F21" s="49"/>
      <c r="G21" s="49">
        <v>332100</v>
      </c>
      <c r="H21" s="49"/>
      <c r="I21" s="49">
        <v>332100</v>
      </c>
      <c r="J21" s="49">
        <v>961360</v>
      </c>
    </row>
    <row r="22" spans="1:10" x14ac:dyDescent="0.55000000000000004">
      <c r="A22" s="62">
        <v>44312</v>
      </c>
      <c r="B22" s="49">
        <v>40122</v>
      </c>
      <c r="C22" s="49" t="s">
        <v>7</v>
      </c>
      <c r="D22" s="49" t="s">
        <v>74</v>
      </c>
      <c r="E22" s="49" t="s">
        <v>107</v>
      </c>
      <c r="F22" s="49"/>
      <c r="G22" s="49"/>
      <c r="H22" s="49">
        <v>500000</v>
      </c>
      <c r="I22" s="49">
        <v>-500000</v>
      </c>
      <c r="J22" s="49">
        <v>461360</v>
      </c>
    </row>
    <row r="23" spans="1:10" x14ac:dyDescent="0.55000000000000004">
      <c r="A23" s="62">
        <v>44312</v>
      </c>
      <c r="B23" s="49">
        <v>45289</v>
      </c>
      <c r="C23" s="49" t="s">
        <v>6</v>
      </c>
      <c r="D23" s="49" t="s">
        <v>74</v>
      </c>
      <c r="E23" s="49" t="s">
        <v>160</v>
      </c>
      <c r="F23" s="49"/>
      <c r="G23" s="49">
        <v>390600</v>
      </c>
      <c r="H23" s="49"/>
      <c r="I23" s="49">
        <v>390600</v>
      </c>
      <c r="J23" s="49">
        <v>851960</v>
      </c>
    </row>
    <row r="24" spans="1:10" x14ac:dyDescent="0.55000000000000004">
      <c r="A24" s="62">
        <v>44287</v>
      </c>
      <c r="B24" s="49"/>
      <c r="C24" s="49" t="s">
        <v>5</v>
      </c>
      <c r="D24" s="49" t="s">
        <v>75</v>
      </c>
      <c r="E24" s="49" t="s">
        <v>5</v>
      </c>
      <c r="F24" s="49">
        <v>32492000</v>
      </c>
      <c r="G24" s="49"/>
      <c r="H24" s="49"/>
      <c r="I24" s="49">
        <v>32492000</v>
      </c>
      <c r="J24" s="49">
        <v>32492000</v>
      </c>
    </row>
    <row r="25" spans="1:10" x14ac:dyDescent="0.55000000000000004">
      <c r="A25" s="62">
        <v>44288</v>
      </c>
      <c r="B25" s="49"/>
      <c r="C25" s="49" t="s">
        <v>7</v>
      </c>
      <c r="D25" s="49" t="s">
        <v>75</v>
      </c>
      <c r="E25" s="49" t="s">
        <v>98</v>
      </c>
      <c r="F25" s="49"/>
      <c r="G25" s="49"/>
      <c r="H25" s="49">
        <v>2320000</v>
      </c>
      <c r="I25" s="49">
        <v>-2320000</v>
      </c>
      <c r="J25" s="49">
        <v>30172000</v>
      </c>
    </row>
    <row r="26" spans="1:10" x14ac:dyDescent="0.55000000000000004">
      <c r="A26" s="62">
        <v>44288</v>
      </c>
      <c r="B26" s="49"/>
      <c r="C26" s="49" t="s">
        <v>7</v>
      </c>
      <c r="D26" s="49" t="s">
        <v>75</v>
      </c>
      <c r="E26" s="49" t="s">
        <v>97</v>
      </c>
      <c r="F26" s="49"/>
      <c r="G26" s="49"/>
      <c r="H26" s="49">
        <v>3090000</v>
      </c>
      <c r="I26" s="49">
        <v>-3090000</v>
      </c>
      <c r="J26" s="49">
        <v>27082000</v>
      </c>
    </row>
    <row r="27" spans="1:10" x14ac:dyDescent="0.55000000000000004">
      <c r="A27" s="62">
        <v>44288</v>
      </c>
      <c r="B27" s="49"/>
      <c r="C27" s="49" t="s">
        <v>7</v>
      </c>
      <c r="D27" s="49" t="s">
        <v>75</v>
      </c>
      <c r="E27" s="49" t="s">
        <v>95</v>
      </c>
      <c r="F27" s="49"/>
      <c r="G27" s="49"/>
      <c r="H27" s="49">
        <v>1000000</v>
      </c>
      <c r="I27" s="49">
        <v>-1000000</v>
      </c>
      <c r="J27" s="49">
        <v>26082000</v>
      </c>
    </row>
    <row r="28" spans="1:10" x14ac:dyDescent="0.55000000000000004">
      <c r="A28" s="62">
        <v>44288</v>
      </c>
      <c r="B28" s="49"/>
      <c r="C28" s="49" t="s">
        <v>7</v>
      </c>
      <c r="D28" s="49" t="s">
        <v>75</v>
      </c>
      <c r="E28" s="49" t="s">
        <v>96</v>
      </c>
      <c r="F28" s="49"/>
      <c r="G28" s="49"/>
      <c r="H28" s="49">
        <v>450000</v>
      </c>
      <c r="I28" s="49">
        <v>-450000</v>
      </c>
      <c r="J28" s="49">
        <v>25632000</v>
      </c>
    </row>
    <row r="29" spans="1:10" x14ac:dyDescent="0.55000000000000004">
      <c r="A29" s="62">
        <v>44288</v>
      </c>
      <c r="B29" s="49"/>
      <c r="C29" s="49" t="s">
        <v>7</v>
      </c>
      <c r="D29" s="49" t="s">
        <v>75</v>
      </c>
      <c r="E29" s="49" t="s">
        <v>94</v>
      </c>
      <c r="F29" s="49"/>
      <c r="G29" s="49"/>
      <c r="H29" s="49">
        <v>500000</v>
      </c>
      <c r="I29" s="49">
        <v>-500000</v>
      </c>
      <c r="J29" s="49">
        <v>25132000</v>
      </c>
    </row>
    <row r="30" spans="1:10" x14ac:dyDescent="0.55000000000000004">
      <c r="A30" s="62">
        <v>44315</v>
      </c>
      <c r="B30" s="49">
        <v>731</v>
      </c>
      <c r="C30" s="49" t="s">
        <v>7</v>
      </c>
      <c r="D30" s="49" t="s">
        <v>75</v>
      </c>
      <c r="E30" s="49" t="s">
        <v>164</v>
      </c>
      <c r="F30" s="49"/>
      <c r="G30" s="49"/>
      <c r="H30" s="49">
        <v>6180000</v>
      </c>
      <c r="I30" s="49">
        <v>-6180000</v>
      </c>
      <c r="J30" s="49">
        <v>18952000</v>
      </c>
    </row>
    <row r="31" spans="1:10" x14ac:dyDescent="0.55000000000000004">
      <c r="A31" s="62">
        <v>44287</v>
      </c>
      <c r="B31" s="49"/>
      <c r="C31" s="49" t="s">
        <v>5</v>
      </c>
      <c r="D31" s="49" t="s">
        <v>76</v>
      </c>
      <c r="E31" s="49" t="s">
        <v>5</v>
      </c>
      <c r="F31" s="49">
        <v>10325000</v>
      </c>
      <c r="G31" s="49"/>
      <c r="H31" s="49"/>
      <c r="I31" s="49">
        <v>10325000</v>
      </c>
      <c r="J31" s="49">
        <v>10325000</v>
      </c>
    </row>
    <row r="32" spans="1:10" x14ac:dyDescent="0.55000000000000004">
      <c r="A32" s="62">
        <v>44315</v>
      </c>
      <c r="B32" s="49">
        <v>730</v>
      </c>
      <c r="C32" s="49" t="s">
        <v>7</v>
      </c>
      <c r="D32" s="49" t="s">
        <v>76</v>
      </c>
      <c r="E32" s="49" t="s">
        <v>110</v>
      </c>
      <c r="F32" s="49"/>
      <c r="G32" s="49"/>
      <c r="H32" s="49">
        <v>6408000</v>
      </c>
      <c r="I32" s="49">
        <v>-6408000</v>
      </c>
      <c r="J32" s="49">
        <v>3917000</v>
      </c>
    </row>
    <row r="33" spans="1:10" x14ac:dyDescent="0.55000000000000004">
      <c r="A33" s="62">
        <v>44287</v>
      </c>
      <c r="B33" s="49"/>
      <c r="C33" s="49" t="s">
        <v>5</v>
      </c>
      <c r="D33" s="49" t="s">
        <v>29</v>
      </c>
      <c r="E33" s="49" t="s">
        <v>5</v>
      </c>
      <c r="F33" s="49">
        <v>2250335</v>
      </c>
      <c r="G33" s="49"/>
      <c r="H33" s="49"/>
      <c r="I33" s="49">
        <v>2250335</v>
      </c>
      <c r="J33" s="49">
        <v>2250335</v>
      </c>
    </row>
    <row r="34" spans="1:10" x14ac:dyDescent="0.55000000000000004">
      <c r="A34" s="62">
        <v>44287</v>
      </c>
      <c r="B34" s="49"/>
      <c r="C34" s="49" t="s">
        <v>6</v>
      </c>
      <c r="D34" s="49" t="s">
        <v>29</v>
      </c>
      <c r="E34" s="49" t="s">
        <v>104</v>
      </c>
      <c r="F34" s="49"/>
      <c r="G34" s="49">
        <v>261500</v>
      </c>
      <c r="H34" s="49"/>
      <c r="I34" s="49">
        <v>261500</v>
      </c>
      <c r="J34" s="49">
        <v>2511835</v>
      </c>
    </row>
    <row r="35" spans="1:10" x14ac:dyDescent="0.55000000000000004">
      <c r="A35" s="62">
        <v>44288</v>
      </c>
      <c r="B35" s="49">
        <v>3666</v>
      </c>
      <c r="C35" s="49" t="s">
        <v>6</v>
      </c>
      <c r="D35" s="49" t="s">
        <v>29</v>
      </c>
      <c r="E35" s="49" t="s">
        <v>105</v>
      </c>
      <c r="F35" s="49"/>
      <c r="G35" s="49">
        <v>387500</v>
      </c>
      <c r="H35" s="49"/>
      <c r="I35" s="49">
        <v>387500</v>
      </c>
      <c r="J35" s="49">
        <v>2899335</v>
      </c>
    </row>
    <row r="36" spans="1:10" x14ac:dyDescent="0.55000000000000004">
      <c r="A36" s="62">
        <v>44289</v>
      </c>
      <c r="B36" s="49">
        <v>13733</v>
      </c>
      <c r="C36" s="49" t="s">
        <v>6</v>
      </c>
      <c r="D36" s="49" t="s">
        <v>29</v>
      </c>
      <c r="E36" s="49" t="s">
        <v>108</v>
      </c>
      <c r="F36" s="49"/>
      <c r="G36" s="49">
        <v>306200</v>
      </c>
      <c r="H36" s="49"/>
      <c r="I36" s="49">
        <v>306200</v>
      </c>
      <c r="J36" s="49">
        <v>3205535</v>
      </c>
    </row>
    <row r="37" spans="1:10" x14ac:dyDescent="0.55000000000000004">
      <c r="A37" s="62">
        <v>44292</v>
      </c>
      <c r="B37" s="49">
        <v>4366</v>
      </c>
      <c r="C37" s="49" t="s">
        <v>6</v>
      </c>
      <c r="D37" s="49" t="s">
        <v>29</v>
      </c>
      <c r="E37" s="49" t="s">
        <v>117</v>
      </c>
      <c r="F37" s="49"/>
      <c r="G37" s="49">
        <v>357400</v>
      </c>
      <c r="H37" s="49"/>
      <c r="I37" s="49">
        <v>357400</v>
      </c>
      <c r="J37" s="49">
        <v>3562935</v>
      </c>
    </row>
    <row r="38" spans="1:10" x14ac:dyDescent="0.55000000000000004">
      <c r="A38" s="62">
        <v>44292</v>
      </c>
      <c r="B38" s="49">
        <v>752</v>
      </c>
      <c r="C38" s="49" t="s">
        <v>6</v>
      </c>
      <c r="D38" s="49" t="s">
        <v>29</v>
      </c>
      <c r="E38" s="49" t="s">
        <v>122</v>
      </c>
      <c r="F38" s="49"/>
      <c r="G38" s="49">
        <v>295200</v>
      </c>
      <c r="H38" s="49"/>
      <c r="I38" s="49">
        <v>295200</v>
      </c>
      <c r="J38" s="49">
        <v>3858135</v>
      </c>
    </row>
    <row r="39" spans="1:10" x14ac:dyDescent="0.55000000000000004">
      <c r="A39" s="62">
        <v>44292</v>
      </c>
      <c r="B39" s="49">
        <v>72</v>
      </c>
      <c r="C39" s="49" t="s">
        <v>6</v>
      </c>
      <c r="D39" s="49" t="s">
        <v>29</v>
      </c>
      <c r="E39" s="49" t="s">
        <v>123</v>
      </c>
      <c r="F39" s="49"/>
      <c r="G39" s="49">
        <v>155600</v>
      </c>
      <c r="H39" s="49"/>
      <c r="I39" s="49">
        <v>155600</v>
      </c>
      <c r="J39" s="49">
        <v>4013735</v>
      </c>
    </row>
    <row r="40" spans="1:10" x14ac:dyDescent="0.55000000000000004">
      <c r="A40" s="62">
        <v>44294</v>
      </c>
      <c r="B40" s="49">
        <v>13865</v>
      </c>
      <c r="C40" s="49" t="s">
        <v>6</v>
      </c>
      <c r="D40" s="49" t="s">
        <v>29</v>
      </c>
      <c r="E40" s="49" t="s">
        <v>130</v>
      </c>
      <c r="F40" s="49"/>
      <c r="G40" s="49">
        <v>185000</v>
      </c>
      <c r="H40" s="49"/>
      <c r="I40" s="49">
        <v>185000</v>
      </c>
      <c r="J40" s="49">
        <v>4198735</v>
      </c>
    </row>
    <row r="41" spans="1:10" x14ac:dyDescent="0.55000000000000004">
      <c r="A41" s="62">
        <v>44295</v>
      </c>
      <c r="B41" s="49"/>
      <c r="C41" s="49" t="s">
        <v>7</v>
      </c>
      <c r="D41" s="49" t="s">
        <v>29</v>
      </c>
      <c r="E41" s="49" t="s">
        <v>124</v>
      </c>
      <c r="F41" s="49"/>
      <c r="G41" s="49"/>
      <c r="H41" s="49">
        <v>1058650</v>
      </c>
      <c r="I41" s="49">
        <v>-1058650</v>
      </c>
      <c r="J41" s="49">
        <v>3140085</v>
      </c>
    </row>
    <row r="42" spans="1:10" x14ac:dyDescent="0.55000000000000004">
      <c r="A42" s="62">
        <v>44295</v>
      </c>
      <c r="B42" s="49">
        <v>13923</v>
      </c>
      <c r="C42" s="49" t="s">
        <v>6</v>
      </c>
      <c r="D42" s="49" t="s">
        <v>29</v>
      </c>
      <c r="E42" s="49" t="s">
        <v>131</v>
      </c>
      <c r="F42" s="49"/>
      <c r="G42" s="49">
        <v>55950</v>
      </c>
      <c r="H42" s="49"/>
      <c r="I42" s="49">
        <v>55950</v>
      </c>
      <c r="J42" s="49">
        <v>3196035</v>
      </c>
    </row>
    <row r="43" spans="1:10" x14ac:dyDescent="0.55000000000000004">
      <c r="A43" s="62">
        <v>44306</v>
      </c>
      <c r="B43" s="49">
        <v>13919</v>
      </c>
      <c r="C43" s="49" t="s">
        <v>6</v>
      </c>
      <c r="D43" s="49" t="s">
        <v>29</v>
      </c>
      <c r="E43" s="49" t="s">
        <v>149</v>
      </c>
      <c r="F43" s="49"/>
      <c r="G43" s="49">
        <v>226700</v>
      </c>
      <c r="H43" s="49"/>
      <c r="I43" s="49">
        <v>226700</v>
      </c>
      <c r="J43" s="49">
        <v>3422735</v>
      </c>
    </row>
    <row r="44" spans="1:10" x14ac:dyDescent="0.55000000000000004">
      <c r="A44" s="62">
        <v>44307</v>
      </c>
      <c r="B44" s="49">
        <v>4602</v>
      </c>
      <c r="C44" s="49" t="s">
        <v>6</v>
      </c>
      <c r="D44" s="49" t="s">
        <v>29</v>
      </c>
      <c r="E44" s="49" t="s">
        <v>146</v>
      </c>
      <c r="F44" s="49"/>
      <c r="G44" s="49">
        <v>140000</v>
      </c>
      <c r="H44" s="49"/>
      <c r="I44" s="49">
        <v>140000</v>
      </c>
      <c r="J44" s="49">
        <v>3562735</v>
      </c>
    </row>
    <row r="45" spans="1:10" x14ac:dyDescent="0.55000000000000004">
      <c r="A45" s="62">
        <v>44307</v>
      </c>
      <c r="B45" s="49">
        <v>4601</v>
      </c>
      <c r="C45" s="49" t="s">
        <v>6</v>
      </c>
      <c r="D45" s="49" t="s">
        <v>29</v>
      </c>
      <c r="E45" s="49" t="s">
        <v>147</v>
      </c>
      <c r="F45" s="49"/>
      <c r="G45" s="49">
        <v>221200</v>
      </c>
      <c r="H45" s="49"/>
      <c r="I45" s="49">
        <v>221200</v>
      </c>
      <c r="J45" s="49">
        <v>3783935</v>
      </c>
    </row>
    <row r="46" spans="1:10" x14ac:dyDescent="0.55000000000000004">
      <c r="A46" s="62">
        <v>44307</v>
      </c>
      <c r="B46" s="49">
        <v>4601</v>
      </c>
      <c r="C46" s="49" t="s">
        <v>6</v>
      </c>
      <c r="D46" s="49" t="s">
        <v>29</v>
      </c>
      <c r="E46" s="49" t="s">
        <v>148</v>
      </c>
      <c r="F46" s="49"/>
      <c r="G46" s="49">
        <v>115600</v>
      </c>
      <c r="H46" s="49"/>
      <c r="I46" s="49">
        <v>115600</v>
      </c>
      <c r="J46" s="49">
        <v>3899535</v>
      </c>
    </row>
    <row r="47" spans="1:10" x14ac:dyDescent="0.55000000000000004">
      <c r="A47" s="62">
        <v>44315</v>
      </c>
      <c r="B47" s="49">
        <v>732</v>
      </c>
      <c r="C47" s="49" t="s">
        <v>7</v>
      </c>
      <c r="D47" s="49" t="s">
        <v>29</v>
      </c>
      <c r="E47" s="49" t="s">
        <v>110</v>
      </c>
      <c r="F47" s="49"/>
      <c r="G47" s="49"/>
      <c r="H47" s="49">
        <v>364500</v>
      </c>
      <c r="I47" s="49">
        <v>-364500</v>
      </c>
      <c r="J47" s="49">
        <v>3535035</v>
      </c>
    </row>
    <row r="48" spans="1:10" x14ac:dyDescent="0.55000000000000004">
      <c r="A48" s="62">
        <v>44314</v>
      </c>
      <c r="B48" s="49">
        <v>14325</v>
      </c>
      <c r="C48" s="49" t="s">
        <v>6</v>
      </c>
      <c r="D48" s="49" t="s">
        <v>29</v>
      </c>
      <c r="E48" s="49" t="s">
        <v>165</v>
      </c>
      <c r="F48" s="49"/>
      <c r="G48" s="49">
        <v>545900</v>
      </c>
      <c r="H48" s="49"/>
      <c r="I48" s="49">
        <v>545900</v>
      </c>
      <c r="J48" s="49">
        <v>4080935</v>
      </c>
    </row>
    <row r="49" spans="1:10" x14ac:dyDescent="0.55000000000000004">
      <c r="A49" s="62">
        <v>44287</v>
      </c>
      <c r="B49" s="49"/>
      <c r="C49" s="49" t="s">
        <v>5</v>
      </c>
      <c r="D49" s="49" t="s">
        <v>77</v>
      </c>
      <c r="E49" s="49" t="s">
        <v>5</v>
      </c>
      <c r="F49" s="49">
        <v>2250700</v>
      </c>
      <c r="G49" s="49"/>
      <c r="H49" s="49"/>
      <c r="I49" s="49">
        <v>2250700</v>
      </c>
      <c r="J49" s="49">
        <v>2250700</v>
      </c>
    </row>
    <row r="50" spans="1:10" x14ac:dyDescent="0.55000000000000004">
      <c r="A50" s="62">
        <v>44289</v>
      </c>
      <c r="B50" s="49">
        <v>7289</v>
      </c>
      <c r="C50" s="49" t="s">
        <v>6</v>
      </c>
      <c r="D50" s="49" t="s">
        <v>77</v>
      </c>
      <c r="E50" s="49" t="s">
        <v>101</v>
      </c>
      <c r="F50" s="49"/>
      <c r="G50" s="49">
        <v>156780</v>
      </c>
      <c r="H50" s="49"/>
      <c r="I50" s="49">
        <v>156780</v>
      </c>
      <c r="J50" s="49">
        <v>2407480</v>
      </c>
    </row>
    <row r="51" spans="1:10" x14ac:dyDescent="0.55000000000000004">
      <c r="A51" s="62">
        <v>44293</v>
      </c>
      <c r="B51" s="49">
        <v>7290</v>
      </c>
      <c r="C51" s="49" t="s">
        <v>6</v>
      </c>
      <c r="D51" s="49" t="s">
        <v>77</v>
      </c>
      <c r="E51" s="49" t="s">
        <v>120</v>
      </c>
      <c r="F51" s="49"/>
      <c r="G51" s="49">
        <v>118500</v>
      </c>
      <c r="H51" s="49"/>
      <c r="I51" s="49">
        <v>118500</v>
      </c>
      <c r="J51" s="49">
        <v>2525980</v>
      </c>
    </row>
    <row r="52" spans="1:10" x14ac:dyDescent="0.55000000000000004">
      <c r="A52" s="62">
        <v>44293</v>
      </c>
      <c r="B52" s="49">
        <v>7290</v>
      </c>
      <c r="C52" s="49" t="s">
        <v>6</v>
      </c>
      <c r="D52" s="49" t="s">
        <v>77</v>
      </c>
      <c r="E52" s="49" t="s">
        <v>121</v>
      </c>
      <c r="F52" s="49"/>
      <c r="G52" s="49">
        <v>99000</v>
      </c>
      <c r="H52" s="49"/>
      <c r="I52" s="49">
        <v>99000</v>
      </c>
      <c r="J52" s="49">
        <v>2624980</v>
      </c>
    </row>
    <row r="53" spans="1:10" x14ac:dyDescent="0.55000000000000004">
      <c r="A53" s="62">
        <v>44305</v>
      </c>
      <c r="B53" s="49">
        <v>7291</v>
      </c>
      <c r="C53" s="49" t="s">
        <v>6</v>
      </c>
      <c r="D53" s="49" t="s">
        <v>77</v>
      </c>
      <c r="E53" s="49" t="s">
        <v>136</v>
      </c>
      <c r="F53" s="49"/>
      <c r="G53" s="49">
        <v>72000</v>
      </c>
      <c r="H53" s="49"/>
      <c r="I53" s="49">
        <v>72000</v>
      </c>
      <c r="J53" s="49">
        <v>2696980</v>
      </c>
    </row>
    <row r="54" spans="1:10" x14ac:dyDescent="0.55000000000000004">
      <c r="A54" s="62">
        <v>44314</v>
      </c>
      <c r="B54" s="49">
        <v>44</v>
      </c>
      <c r="C54" s="49" t="s">
        <v>7</v>
      </c>
      <c r="D54" s="49" t="s">
        <v>77</v>
      </c>
      <c r="E54" s="49" t="s">
        <v>125</v>
      </c>
      <c r="F54" s="49"/>
      <c r="G54" s="49"/>
      <c r="H54" s="49">
        <v>1000000</v>
      </c>
      <c r="I54" s="49">
        <v>-1000000</v>
      </c>
      <c r="J54" s="49">
        <v>1696980</v>
      </c>
    </row>
    <row r="55" spans="1:10" x14ac:dyDescent="0.55000000000000004">
      <c r="A55" s="62">
        <v>44287</v>
      </c>
      <c r="B55" s="49"/>
      <c r="C55" s="49" t="s">
        <v>5</v>
      </c>
      <c r="D55" s="49" t="s">
        <v>58</v>
      </c>
      <c r="E55" s="49" t="s">
        <v>5</v>
      </c>
      <c r="F55" s="49">
        <v>2184122</v>
      </c>
      <c r="G55" s="49"/>
      <c r="H55" s="49"/>
      <c r="I55" s="49">
        <v>2184122</v>
      </c>
      <c r="J55" s="49">
        <v>2184122</v>
      </c>
    </row>
    <row r="56" spans="1:10" x14ac:dyDescent="0.55000000000000004">
      <c r="A56" s="62">
        <v>44291</v>
      </c>
      <c r="B56" s="49">
        <v>55</v>
      </c>
      <c r="C56" s="49" t="s">
        <v>6</v>
      </c>
      <c r="D56" s="49" t="s">
        <v>58</v>
      </c>
      <c r="E56" s="49" t="s">
        <v>113</v>
      </c>
      <c r="F56" s="49"/>
      <c r="G56" s="49">
        <v>318000</v>
      </c>
      <c r="H56" s="49"/>
      <c r="I56" s="49">
        <v>318000</v>
      </c>
      <c r="J56" s="49">
        <v>2502122</v>
      </c>
    </row>
    <row r="57" spans="1:10" x14ac:dyDescent="0.55000000000000004">
      <c r="A57" s="62">
        <v>44278</v>
      </c>
      <c r="B57" s="49">
        <v>132</v>
      </c>
      <c r="C57" s="49" t="s">
        <v>6</v>
      </c>
      <c r="D57" s="49" t="s">
        <v>58</v>
      </c>
      <c r="E57" s="49" t="s">
        <v>114</v>
      </c>
      <c r="F57" s="49"/>
      <c r="G57" s="49">
        <v>145800</v>
      </c>
      <c r="H57" s="49"/>
      <c r="I57" s="49">
        <v>145800</v>
      </c>
      <c r="J57" s="49">
        <v>2647922</v>
      </c>
    </row>
    <row r="58" spans="1:10" x14ac:dyDescent="0.55000000000000004">
      <c r="A58" s="62">
        <v>44305</v>
      </c>
      <c r="B58" s="49"/>
      <c r="C58" s="49" t="s">
        <v>7</v>
      </c>
      <c r="D58" s="49" t="s">
        <v>58</v>
      </c>
      <c r="E58" s="49" t="s">
        <v>124</v>
      </c>
      <c r="F58" s="49"/>
      <c r="G58" s="49"/>
      <c r="H58" s="49">
        <v>2603672</v>
      </c>
      <c r="I58" s="49">
        <v>-2603672</v>
      </c>
      <c r="J58" s="49">
        <v>44250</v>
      </c>
    </row>
    <row r="59" spans="1:10" x14ac:dyDescent="0.55000000000000004">
      <c r="A59" s="62">
        <v>44305</v>
      </c>
      <c r="B59" s="49">
        <v>154</v>
      </c>
      <c r="C59" s="49" t="s">
        <v>6</v>
      </c>
      <c r="D59" s="49" t="s">
        <v>58</v>
      </c>
      <c r="E59" s="49" t="s">
        <v>135</v>
      </c>
      <c r="F59" s="49"/>
      <c r="G59" s="49">
        <v>693900</v>
      </c>
      <c r="H59" s="49"/>
      <c r="I59" s="49">
        <v>693900</v>
      </c>
      <c r="J59" s="49">
        <v>738150</v>
      </c>
    </row>
    <row r="60" spans="1:10" x14ac:dyDescent="0.55000000000000004">
      <c r="A60" s="62">
        <v>44287</v>
      </c>
      <c r="B60" s="49"/>
      <c r="C60" s="49" t="s">
        <v>5</v>
      </c>
      <c r="D60" s="49" t="s">
        <v>42</v>
      </c>
      <c r="E60" s="49" t="s">
        <v>5</v>
      </c>
      <c r="F60" s="49">
        <v>35000</v>
      </c>
      <c r="G60" s="49"/>
      <c r="H60" s="49"/>
      <c r="I60" s="49">
        <v>35000</v>
      </c>
      <c r="J60" s="49">
        <v>35000</v>
      </c>
    </row>
    <row r="61" spans="1:10" x14ac:dyDescent="0.55000000000000004">
      <c r="A61" s="62">
        <v>44292</v>
      </c>
      <c r="B61" s="49">
        <v>9102</v>
      </c>
      <c r="C61" s="49" t="s">
        <v>6</v>
      </c>
      <c r="D61" s="49" t="s">
        <v>42</v>
      </c>
      <c r="E61" s="49" t="s">
        <v>119</v>
      </c>
      <c r="F61" s="49"/>
      <c r="G61" s="49">
        <v>17500</v>
      </c>
      <c r="H61" s="49"/>
      <c r="I61" s="49">
        <v>17500</v>
      </c>
      <c r="J61" s="49">
        <v>52500</v>
      </c>
    </row>
    <row r="62" spans="1:10" x14ac:dyDescent="0.55000000000000004">
      <c r="A62" s="62">
        <v>44295</v>
      </c>
      <c r="B62" s="49">
        <v>9108</v>
      </c>
      <c r="C62" s="49" t="s">
        <v>6</v>
      </c>
      <c r="D62" s="49" t="s">
        <v>42</v>
      </c>
      <c r="E62" s="49" t="s">
        <v>129</v>
      </c>
      <c r="F62" s="49"/>
      <c r="G62" s="49">
        <v>87500</v>
      </c>
      <c r="H62" s="49"/>
      <c r="I62" s="49">
        <v>87500</v>
      </c>
      <c r="J62" s="49">
        <v>140000</v>
      </c>
    </row>
    <row r="63" spans="1:10" x14ac:dyDescent="0.55000000000000004">
      <c r="A63" s="62">
        <v>44314</v>
      </c>
      <c r="B63" s="49">
        <v>18634</v>
      </c>
      <c r="C63" s="49" t="s">
        <v>7</v>
      </c>
      <c r="D63" s="49" t="s">
        <v>42</v>
      </c>
      <c r="E63" s="49" t="s">
        <v>125</v>
      </c>
      <c r="F63" s="49"/>
      <c r="G63" s="49"/>
      <c r="H63" s="49">
        <v>140000</v>
      </c>
      <c r="I63" s="49">
        <v>-140000</v>
      </c>
      <c r="J63" s="49">
        <v>0</v>
      </c>
    </row>
    <row r="64" spans="1:10" x14ac:dyDescent="0.55000000000000004">
      <c r="A64" s="62">
        <v>44287</v>
      </c>
      <c r="B64" s="49"/>
      <c r="C64" s="49" t="s">
        <v>5</v>
      </c>
      <c r="D64" s="49" t="s">
        <v>78</v>
      </c>
      <c r="E64" s="49" t="s">
        <v>5</v>
      </c>
      <c r="F64" s="49">
        <v>132500</v>
      </c>
      <c r="G64" s="49"/>
      <c r="H64" s="49"/>
      <c r="I64" s="49">
        <v>132500</v>
      </c>
      <c r="J64" s="49">
        <v>132500</v>
      </c>
    </row>
    <row r="65" spans="1:10" x14ac:dyDescent="0.55000000000000004">
      <c r="A65" s="62">
        <v>44291</v>
      </c>
      <c r="B65" s="49"/>
      <c r="C65" s="49" t="s">
        <v>6</v>
      </c>
      <c r="D65" s="49" t="s">
        <v>78</v>
      </c>
      <c r="E65" s="49" t="s">
        <v>99</v>
      </c>
      <c r="F65" s="49"/>
      <c r="G65" s="49">
        <v>62000</v>
      </c>
      <c r="H65" s="49"/>
      <c r="I65" s="49">
        <v>62000</v>
      </c>
      <c r="J65" s="49">
        <v>194500</v>
      </c>
    </row>
    <row r="66" spans="1:10" x14ac:dyDescent="0.55000000000000004">
      <c r="A66" s="62">
        <v>44292</v>
      </c>
      <c r="B66" s="49"/>
      <c r="C66" s="49" t="s">
        <v>7</v>
      </c>
      <c r="D66" s="49" t="s">
        <v>78</v>
      </c>
      <c r="E66" s="49" t="s">
        <v>110</v>
      </c>
      <c r="F66" s="49"/>
      <c r="G66" s="49"/>
      <c r="H66" s="49">
        <v>194500</v>
      </c>
      <c r="I66" s="49">
        <v>-194500</v>
      </c>
      <c r="J66" s="49">
        <v>0</v>
      </c>
    </row>
    <row r="67" spans="1:10" x14ac:dyDescent="0.55000000000000004">
      <c r="A67" s="62">
        <v>44292</v>
      </c>
      <c r="B67" s="49"/>
      <c r="C67" s="49" t="s">
        <v>6</v>
      </c>
      <c r="D67" s="49" t="s">
        <v>78</v>
      </c>
      <c r="E67" s="49" t="s">
        <v>111</v>
      </c>
      <c r="F67" s="49"/>
      <c r="G67" s="49">
        <v>17250</v>
      </c>
      <c r="H67" s="49"/>
      <c r="I67" s="49">
        <v>17250</v>
      </c>
      <c r="J67" s="49">
        <v>17250</v>
      </c>
    </row>
    <row r="68" spans="1:10" x14ac:dyDescent="0.55000000000000004">
      <c r="A68" s="62">
        <v>44295</v>
      </c>
      <c r="B68" s="49">
        <v>9359</v>
      </c>
      <c r="C68" s="49" t="s">
        <v>7</v>
      </c>
      <c r="D68" s="49" t="s">
        <v>78</v>
      </c>
      <c r="E68" s="49" t="s">
        <v>110</v>
      </c>
      <c r="F68" s="49"/>
      <c r="G68" s="49"/>
      <c r="H68" s="49">
        <v>17250</v>
      </c>
      <c r="I68" s="49">
        <v>-17250</v>
      </c>
      <c r="J68" s="49">
        <v>0</v>
      </c>
    </row>
    <row r="69" spans="1:10" x14ac:dyDescent="0.55000000000000004">
      <c r="A69" s="62">
        <v>44305</v>
      </c>
      <c r="B69" s="49">
        <v>4905</v>
      </c>
      <c r="C69" s="49" t="s">
        <v>6</v>
      </c>
      <c r="D69" s="49" t="s">
        <v>78</v>
      </c>
      <c r="E69" s="49" t="s">
        <v>140</v>
      </c>
      <c r="F69" s="49"/>
      <c r="G69" s="49">
        <v>119500</v>
      </c>
      <c r="H69" s="49"/>
      <c r="I69" s="49">
        <v>119500</v>
      </c>
      <c r="J69" s="49">
        <v>119500</v>
      </c>
    </row>
    <row r="70" spans="1:10" x14ac:dyDescent="0.55000000000000004">
      <c r="A70" s="62">
        <v>44309</v>
      </c>
      <c r="B70" s="49">
        <v>4136</v>
      </c>
      <c r="C70" s="49" t="s">
        <v>6</v>
      </c>
      <c r="D70" s="49" t="s">
        <v>78</v>
      </c>
      <c r="E70" s="49" t="s">
        <v>154</v>
      </c>
      <c r="F70" s="49"/>
      <c r="G70" s="49">
        <v>16000</v>
      </c>
      <c r="H70" s="49"/>
      <c r="I70" s="49">
        <v>16000</v>
      </c>
      <c r="J70" s="49">
        <v>135500</v>
      </c>
    </row>
    <row r="71" spans="1:10" x14ac:dyDescent="0.55000000000000004">
      <c r="A71" s="62">
        <v>44310</v>
      </c>
      <c r="B71" s="49">
        <v>4911</v>
      </c>
      <c r="C71" s="49" t="s">
        <v>6</v>
      </c>
      <c r="D71" s="49" t="s">
        <v>78</v>
      </c>
      <c r="E71" s="49" t="s">
        <v>158</v>
      </c>
      <c r="F71" s="49"/>
      <c r="G71" s="49">
        <v>250200</v>
      </c>
      <c r="H71" s="49"/>
      <c r="I71" s="49">
        <v>250200</v>
      </c>
      <c r="J71" s="49">
        <v>385700</v>
      </c>
    </row>
    <row r="72" spans="1:10" x14ac:dyDescent="0.55000000000000004">
      <c r="A72" s="62">
        <v>44312</v>
      </c>
      <c r="B72" s="49"/>
      <c r="C72" s="49" t="s">
        <v>7</v>
      </c>
      <c r="D72" s="49" t="s">
        <v>78</v>
      </c>
      <c r="E72" s="49" t="s">
        <v>110</v>
      </c>
      <c r="F72" s="49"/>
      <c r="G72" s="49"/>
      <c r="H72" s="49">
        <v>385700</v>
      </c>
      <c r="I72" s="49">
        <v>-385700</v>
      </c>
      <c r="J72" s="49">
        <v>0</v>
      </c>
    </row>
    <row r="73" spans="1:10" x14ac:dyDescent="0.55000000000000004">
      <c r="A73" s="62">
        <v>44287</v>
      </c>
      <c r="B73" s="49"/>
      <c r="C73" s="49" t="s">
        <v>5</v>
      </c>
      <c r="D73" s="49" t="s">
        <v>44</v>
      </c>
      <c r="E73" s="49" t="s">
        <v>5</v>
      </c>
      <c r="F73" s="49">
        <v>2208992</v>
      </c>
      <c r="G73" s="49"/>
      <c r="H73" s="49"/>
      <c r="I73" s="49">
        <v>2208992</v>
      </c>
      <c r="J73" s="49">
        <v>2208992</v>
      </c>
    </row>
    <row r="74" spans="1:10" x14ac:dyDescent="0.55000000000000004">
      <c r="A74" s="62">
        <v>44287</v>
      </c>
      <c r="B74" s="49"/>
      <c r="C74" s="49" t="s">
        <v>5</v>
      </c>
      <c r="D74" s="49" t="s">
        <v>79</v>
      </c>
      <c r="E74" s="49" t="s">
        <v>5</v>
      </c>
      <c r="F74" s="49">
        <v>1809460</v>
      </c>
      <c r="G74" s="49"/>
      <c r="H74" s="49"/>
      <c r="I74" s="49">
        <v>1809460</v>
      </c>
      <c r="J74" s="49">
        <v>1809460</v>
      </c>
    </row>
    <row r="75" spans="1:10" x14ac:dyDescent="0.55000000000000004">
      <c r="A75" s="62">
        <v>44292</v>
      </c>
      <c r="B75" s="49">
        <v>5808</v>
      </c>
      <c r="C75" s="49" t="s">
        <v>6</v>
      </c>
      <c r="D75" s="49" t="s">
        <v>79</v>
      </c>
      <c r="E75" s="49" t="s">
        <v>112</v>
      </c>
      <c r="F75" s="49"/>
      <c r="G75" s="49">
        <v>20000</v>
      </c>
      <c r="H75" s="49"/>
      <c r="I75" s="49">
        <v>20000</v>
      </c>
      <c r="J75" s="49">
        <v>1829460</v>
      </c>
    </row>
    <row r="76" spans="1:10" x14ac:dyDescent="0.55000000000000004">
      <c r="A76" s="62">
        <v>44296</v>
      </c>
      <c r="B76" s="49"/>
      <c r="C76" s="49" t="s">
        <v>7</v>
      </c>
      <c r="D76" s="49" t="s">
        <v>79</v>
      </c>
      <c r="E76" s="49" t="s">
        <v>125</v>
      </c>
      <c r="F76" s="49"/>
      <c r="G76" s="49"/>
      <c r="H76" s="49">
        <v>740000</v>
      </c>
      <c r="I76" s="49">
        <v>-740000</v>
      </c>
      <c r="J76" s="49">
        <v>1089460</v>
      </c>
    </row>
    <row r="77" spans="1:10" x14ac:dyDescent="0.55000000000000004">
      <c r="A77" s="62">
        <v>44307</v>
      </c>
      <c r="B77" s="49"/>
      <c r="C77" s="49" t="s">
        <v>7</v>
      </c>
      <c r="D77" s="49" t="s">
        <v>79</v>
      </c>
      <c r="E77" s="49" t="s">
        <v>125</v>
      </c>
      <c r="F77" s="49"/>
      <c r="G77" s="49"/>
      <c r="H77" s="49">
        <v>700000</v>
      </c>
      <c r="I77" s="49">
        <v>-700000</v>
      </c>
      <c r="J77" s="49">
        <v>389460</v>
      </c>
    </row>
    <row r="78" spans="1:10" x14ac:dyDescent="0.55000000000000004">
      <c r="A78" s="62">
        <v>44307</v>
      </c>
      <c r="B78" s="49">
        <v>5809</v>
      </c>
      <c r="C78" s="49" t="s">
        <v>6</v>
      </c>
      <c r="D78" s="49" t="s">
        <v>79</v>
      </c>
      <c r="E78" s="49" t="s">
        <v>141</v>
      </c>
      <c r="F78" s="49"/>
      <c r="G78" s="49">
        <v>740000</v>
      </c>
      <c r="H78" s="49"/>
      <c r="I78" s="49">
        <v>740000</v>
      </c>
      <c r="J78" s="49">
        <v>1129460</v>
      </c>
    </row>
    <row r="79" spans="1:10" x14ac:dyDescent="0.55000000000000004">
      <c r="A79" s="62">
        <v>44312</v>
      </c>
      <c r="B79" s="49"/>
      <c r="C79" s="49" t="s">
        <v>7</v>
      </c>
      <c r="D79" s="49" t="s">
        <v>79</v>
      </c>
      <c r="E79" s="49" t="s">
        <v>125</v>
      </c>
      <c r="F79" s="49"/>
      <c r="G79" s="49"/>
      <c r="H79" s="49">
        <v>2000000</v>
      </c>
      <c r="I79" s="49">
        <v>-2000000</v>
      </c>
      <c r="J79" s="49">
        <v>-870540</v>
      </c>
    </row>
    <row r="80" spans="1:10" x14ac:dyDescent="0.55000000000000004">
      <c r="A80" s="62">
        <v>44312</v>
      </c>
      <c r="B80" s="49">
        <v>5810</v>
      </c>
      <c r="C80" s="49" t="s">
        <v>6</v>
      </c>
      <c r="D80" s="49" t="s">
        <v>79</v>
      </c>
      <c r="E80" s="49" t="s">
        <v>161</v>
      </c>
      <c r="F80" s="49"/>
      <c r="G80" s="49">
        <v>3948750</v>
      </c>
      <c r="H80" s="49"/>
      <c r="I80" s="49">
        <v>3948750</v>
      </c>
      <c r="J80" s="49">
        <v>3078210</v>
      </c>
    </row>
    <row r="81" spans="1:10" x14ac:dyDescent="0.55000000000000004">
      <c r="A81" s="62">
        <v>44313</v>
      </c>
      <c r="B81" s="49"/>
      <c r="C81" s="49" t="s">
        <v>7</v>
      </c>
      <c r="D81" s="49" t="s">
        <v>79</v>
      </c>
      <c r="E81" s="49" t="s">
        <v>163</v>
      </c>
      <c r="F81" s="49"/>
      <c r="G81" s="49"/>
      <c r="H81" s="49">
        <v>300000</v>
      </c>
      <c r="I81" s="49">
        <v>-300000</v>
      </c>
      <c r="J81" s="49">
        <v>2778210</v>
      </c>
    </row>
    <row r="82" spans="1:10" x14ac:dyDescent="0.55000000000000004">
      <c r="A82" s="62">
        <v>44287</v>
      </c>
      <c r="B82" s="49"/>
      <c r="C82" s="49" t="s">
        <v>5</v>
      </c>
      <c r="D82" s="49" t="s">
        <v>80</v>
      </c>
      <c r="E82" s="49" t="s">
        <v>5</v>
      </c>
      <c r="F82" s="49">
        <v>2754773</v>
      </c>
      <c r="G82" s="49"/>
      <c r="H82" s="49"/>
      <c r="I82" s="49">
        <v>2754773</v>
      </c>
      <c r="J82" s="49">
        <v>2754773</v>
      </c>
    </row>
    <row r="83" spans="1:10" x14ac:dyDescent="0.55000000000000004">
      <c r="A83" s="62">
        <v>44287</v>
      </c>
      <c r="B83" s="49"/>
      <c r="C83" s="49" t="s">
        <v>5</v>
      </c>
      <c r="D83" s="49" t="s">
        <v>48</v>
      </c>
      <c r="E83" s="49" t="s">
        <v>5</v>
      </c>
      <c r="F83" s="49">
        <v>5934500</v>
      </c>
      <c r="G83" s="49"/>
      <c r="H83" s="49"/>
      <c r="I83" s="49">
        <v>5934500</v>
      </c>
      <c r="J83" s="49">
        <v>5934500</v>
      </c>
    </row>
    <row r="84" spans="1:10" x14ac:dyDescent="0.55000000000000004">
      <c r="A84" s="62">
        <v>44297</v>
      </c>
      <c r="B84" s="49">
        <v>42965</v>
      </c>
      <c r="C84" s="49" t="s">
        <v>6</v>
      </c>
      <c r="D84" s="49" t="s">
        <v>48</v>
      </c>
      <c r="E84" s="49" t="s">
        <v>132</v>
      </c>
      <c r="F84" s="49"/>
      <c r="G84" s="49">
        <v>420000</v>
      </c>
      <c r="H84" s="49"/>
      <c r="I84" s="49">
        <v>420000</v>
      </c>
      <c r="J84" s="49">
        <v>6354500</v>
      </c>
    </row>
    <row r="85" spans="1:10" x14ac:dyDescent="0.55000000000000004">
      <c r="A85" s="62">
        <v>44298</v>
      </c>
      <c r="B85" s="49">
        <v>376</v>
      </c>
      <c r="C85" s="49" t="s">
        <v>6</v>
      </c>
      <c r="D85" s="49" t="s">
        <v>48</v>
      </c>
      <c r="E85" s="49" t="s">
        <v>133</v>
      </c>
      <c r="F85" s="49"/>
      <c r="G85" s="49">
        <v>1910000</v>
      </c>
      <c r="H85" s="49"/>
      <c r="I85" s="49">
        <v>1910000</v>
      </c>
      <c r="J85" s="49">
        <v>8264500</v>
      </c>
    </row>
    <row r="86" spans="1:10" x14ac:dyDescent="0.55000000000000004">
      <c r="A86" s="62">
        <v>44299</v>
      </c>
      <c r="B86" s="49"/>
      <c r="C86" s="49" t="s">
        <v>7</v>
      </c>
      <c r="D86" s="49" t="s">
        <v>48</v>
      </c>
      <c r="E86" s="49" t="s">
        <v>157</v>
      </c>
      <c r="F86" s="49"/>
      <c r="G86" s="49"/>
      <c r="H86" s="49">
        <v>634000</v>
      </c>
      <c r="I86" s="49">
        <v>-634000</v>
      </c>
      <c r="J86" s="49">
        <v>7630500</v>
      </c>
    </row>
    <row r="87" spans="1:10" x14ac:dyDescent="0.55000000000000004">
      <c r="A87" s="62">
        <v>44305</v>
      </c>
      <c r="B87" s="49">
        <v>610</v>
      </c>
      <c r="C87" s="49" t="s">
        <v>7</v>
      </c>
      <c r="D87" s="49" t="s">
        <v>48</v>
      </c>
      <c r="E87" s="49" t="s">
        <v>125</v>
      </c>
      <c r="F87" s="49"/>
      <c r="G87" s="49"/>
      <c r="H87" s="49">
        <v>2500000</v>
      </c>
      <c r="I87" s="49">
        <v>-2500000</v>
      </c>
      <c r="J87" s="49">
        <v>5130500</v>
      </c>
    </row>
    <row r="88" spans="1:10" x14ac:dyDescent="0.55000000000000004">
      <c r="A88" s="62">
        <v>44305</v>
      </c>
      <c r="B88" s="49">
        <v>42972</v>
      </c>
      <c r="C88" s="49" t="s">
        <v>6</v>
      </c>
      <c r="D88" s="49" t="s">
        <v>48</v>
      </c>
      <c r="E88" s="49" t="s">
        <v>132</v>
      </c>
      <c r="F88" s="49"/>
      <c r="G88" s="49">
        <v>420000</v>
      </c>
      <c r="H88" s="49"/>
      <c r="I88" s="49">
        <v>420000</v>
      </c>
      <c r="J88" s="49">
        <v>5550500</v>
      </c>
    </row>
    <row r="89" spans="1:10" x14ac:dyDescent="0.55000000000000004">
      <c r="A89" s="62">
        <v>44308</v>
      </c>
      <c r="B89" s="49">
        <v>40125</v>
      </c>
      <c r="C89" s="49" t="s">
        <v>6</v>
      </c>
      <c r="D89" s="49" t="s">
        <v>48</v>
      </c>
      <c r="E89" s="49" t="s">
        <v>132</v>
      </c>
      <c r="F89" s="49"/>
      <c r="G89" s="49">
        <v>840000</v>
      </c>
      <c r="H89" s="49"/>
      <c r="I89" s="49">
        <v>840000</v>
      </c>
      <c r="J89" s="49">
        <v>6390500</v>
      </c>
    </row>
    <row r="90" spans="1:10" x14ac:dyDescent="0.55000000000000004">
      <c r="A90" s="62">
        <v>44308</v>
      </c>
      <c r="B90" s="49">
        <v>40126</v>
      </c>
      <c r="C90" s="49" t="s">
        <v>6</v>
      </c>
      <c r="D90" s="49" t="s">
        <v>48</v>
      </c>
      <c r="E90" s="49" t="s">
        <v>153</v>
      </c>
      <c r="F90" s="49"/>
      <c r="G90" s="49">
        <v>192000</v>
      </c>
      <c r="H90" s="49"/>
      <c r="I90" s="49">
        <v>192000</v>
      </c>
      <c r="J90" s="49">
        <v>6582500</v>
      </c>
    </row>
    <row r="91" spans="1:10" x14ac:dyDescent="0.55000000000000004">
      <c r="A91" s="62">
        <v>44315</v>
      </c>
      <c r="B91" s="49">
        <v>672</v>
      </c>
      <c r="C91" s="49" t="s">
        <v>7</v>
      </c>
      <c r="D91" s="49" t="s">
        <v>48</v>
      </c>
      <c r="E91" s="49" t="s">
        <v>125</v>
      </c>
      <c r="F91" s="49"/>
      <c r="G91" s="49"/>
      <c r="H91" s="49">
        <v>1500000</v>
      </c>
      <c r="I91" s="49">
        <v>-1500000</v>
      </c>
      <c r="J91" s="49">
        <v>5082500</v>
      </c>
    </row>
    <row r="92" spans="1:10" x14ac:dyDescent="0.55000000000000004">
      <c r="A92" s="62">
        <v>44315</v>
      </c>
      <c r="B92" s="49">
        <v>647</v>
      </c>
      <c r="C92" s="49" t="s">
        <v>6</v>
      </c>
      <c r="D92" s="49" t="s">
        <v>48</v>
      </c>
      <c r="E92" s="49" t="s">
        <v>132</v>
      </c>
      <c r="F92" s="49"/>
      <c r="G92" s="49">
        <v>420000</v>
      </c>
      <c r="H92" s="49"/>
      <c r="I92" s="49">
        <v>420000</v>
      </c>
      <c r="J92" s="49">
        <v>5502500</v>
      </c>
    </row>
    <row r="93" spans="1:10" x14ac:dyDescent="0.55000000000000004">
      <c r="A93" s="62">
        <v>44287</v>
      </c>
      <c r="B93" s="49"/>
      <c r="C93" s="49" t="s">
        <v>5</v>
      </c>
      <c r="D93" s="49" t="s">
        <v>50</v>
      </c>
      <c r="E93" s="49" t="s">
        <v>5</v>
      </c>
      <c r="F93" s="49"/>
      <c r="G93" s="49"/>
      <c r="H93" s="49"/>
      <c r="I93" s="49">
        <v>0</v>
      </c>
      <c r="J93" s="49"/>
    </row>
    <row r="94" spans="1:10" x14ac:dyDescent="0.55000000000000004">
      <c r="A94" s="62">
        <v>44289</v>
      </c>
      <c r="B94" s="49">
        <v>11863</v>
      </c>
      <c r="C94" s="49" t="s">
        <v>6</v>
      </c>
      <c r="D94" s="49" t="s">
        <v>50</v>
      </c>
      <c r="E94" s="49" t="s">
        <v>100</v>
      </c>
      <c r="F94" s="49"/>
      <c r="G94" s="49">
        <v>117000.01</v>
      </c>
      <c r="H94" s="49"/>
      <c r="I94" s="49">
        <v>117000.01</v>
      </c>
      <c r="J94" s="49"/>
    </row>
    <row r="95" spans="1:10" x14ac:dyDescent="0.55000000000000004">
      <c r="A95" s="62">
        <v>44287</v>
      </c>
      <c r="B95" s="49"/>
      <c r="C95" s="49" t="s">
        <v>5</v>
      </c>
      <c r="D95" s="49" t="s">
        <v>65</v>
      </c>
      <c r="E95" s="49" t="s">
        <v>5</v>
      </c>
      <c r="F95" s="49"/>
      <c r="G95" s="49"/>
      <c r="H95" s="49"/>
      <c r="I95" s="49">
        <v>0</v>
      </c>
      <c r="J95" s="49">
        <v>0</v>
      </c>
    </row>
    <row r="96" spans="1:10" x14ac:dyDescent="0.55000000000000004">
      <c r="A96" s="62">
        <v>44288</v>
      </c>
      <c r="B96" s="49">
        <v>29854</v>
      </c>
      <c r="C96" s="49" t="s">
        <v>6</v>
      </c>
      <c r="D96" s="49" t="s">
        <v>65</v>
      </c>
      <c r="E96" s="49" t="s">
        <v>109</v>
      </c>
      <c r="F96" s="49"/>
      <c r="G96" s="49">
        <v>269400</v>
      </c>
      <c r="H96" s="49"/>
      <c r="I96" s="49">
        <v>269400</v>
      </c>
      <c r="J96" s="49">
        <v>269400</v>
      </c>
    </row>
    <row r="97" spans="1:10" x14ac:dyDescent="0.55000000000000004">
      <c r="A97" s="62">
        <v>44292</v>
      </c>
      <c r="B97" s="49">
        <v>3537</v>
      </c>
      <c r="C97" s="49" t="s">
        <v>7</v>
      </c>
      <c r="D97" s="49" t="s">
        <v>65</v>
      </c>
      <c r="E97" s="49" t="s">
        <v>110</v>
      </c>
      <c r="F97" s="49"/>
      <c r="G97" s="49"/>
      <c r="H97" s="49">
        <v>269400</v>
      </c>
      <c r="I97" s="49">
        <v>-269400</v>
      </c>
      <c r="J97" s="49">
        <v>0</v>
      </c>
    </row>
    <row r="98" spans="1:10" x14ac:dyDescent="0.55000000000000004">
      <c r="A98" s="62">
        <v>44308</v>
      </c>
      <c r="B98" s="49">
        <v>29861</v>
      </c>
      <c r="C98" s="49" t="s">
        <v>6</v>
      </c>
      <c r="D98" s="49" t="s">
        <v>65</v>
      </c>
      <c r="E98" s="49" t="s">
        <v>150</v>
      </c>
      <c r="F98" s="49"/>
      <c r="G98" s="49">
        <v>165640</v>
      </c>
      <c r="H98" s="49"/>
      <c r="I98" s="49">
        <v>165640</v>
      </c>
      <c r="J98" s="49">
        <v>165640</v>
      </c>
    </row>
    <row r="99" spans="1:10" x14ac:dyDescent="0.55000000000000004">
      <c r="A99" s="62">
        <v>44308</v>
      </c>
      <c r="B99" s="49">
        <v>29861</v>
      </c>
      <c r="C99" s="49" t="s">
        <v>6</v>
      </c>
      <c r="D99" s="49" t="s">
        <v>65</v>
      </c>
      <c r="E99" s="49" t="s">
        <v>151</v>
      </c>
      <c r="F99" s="49"/>
      <c r="G99" s="49">
        <v>18500</v>
      </c>
      <c r="H99" s="49"/>
      <c r="I99" s="49">
        <v>18500</v>
      </c>
      <c r="J99" s="49">
        <v>184140</v>
      </c>
    </row>
    <row r="100" spans="1:10" x14ac:dyDescent="0.55000000000000004">
      <c r="A100" s="62">
        <v>44312</v>
      </c>
      <c r="B100" s="49"/>
      <c r="C100" s="49" t="s">
        <v>7</v>
      </c>
      <c r="D100" s="49" t="s">
        <v>65</v>
      </c>
      <c r="E100" s="49" t="s">
        <v>110</v>
      </c>
      <c r="F100" s="49"/>
      <c r="G100" s="49"/>
      <c r="H100" s="49">
        <v>184140</v>
      </c>
      <c r="I100" s="49">
        <v>-184140</v>
      </c>
      <c r="J100" s="49">
        <v>0</v>
      </c>
    </row>
    <row r="101" spans="1:10" x14ac:dyDescent="0.55000000000000004">
      <c r="A101" s="62">
        <v>44312</v>
      </c>
      <c r="B101" s="49">
        <v>29862</v>
      </c>
      <c r="C101" s="49" t="s">
        <v>6</v>
      </c>
      <c r="D101" s="49" t="s">
        <v>65</v>
      </c>
      <c r="E101" s="49">
        <v>6207</v>
      </c>
      <c r="F101" s="49"/>
      <c r="G101" s="49">
        <v>190950</v>
      </c>
      <c r="H101" s="49"/>
      <c r="I101" s="49">
        <v>190950</v>
      </c>
      <c r="J101" s="49">
        <v>190950</v>
      </c>
    </row>
    <row r="102" spans="1:10" x14ac:dyDescent="0.55000000000000004">
      <c r="A102" s="62">
        <v>44287</v>
      </c>
      <c r="B102" s="49"/>
      <c r="C102" s="49" t="s">
        <v>5</v>
      </c>
      <c r="D102" s="49" t="s">
        <v>81</v>
      </c>
      <c r="E102" s="49" t="s">
        <v>5</v>
      </c>
      <c r="F102" s="49">
        <v>1145500</v>
      </c>
      <c r="G102" s="49"/>
      <c r="H102" s="49"/>
      <c r="I102" s="49">
        <v>1145500</v>
      </c>
      <c r="J102" s="49">
        <v>1145500</v>
      </c>
    </row>
    <row r="103" spans="1:10" x14ac:dyDescent="0.55000000000000004">
      <c r="A103" s="62">
        <v>44287</v>
      </c>
      <c r="B103" s="49"/>
      <c r="C103" s="49" t="s">
        <v>5</v>
      </c>
      <c r="D103" s="49" t="s">
        <v>82</v>
      </c>
      <c r="E103" s="49" t="s">
        <v>5</v>
      </c>
      <c r="F103" s="49">
        <v>143000</v>
      </c>
      <c r="G103" s="49"/>
      <c r="H103" s="49"/>
      <c r="I103" s="49">
        <v>143000</v>
      </c>
      <c r="J103" s="49">
        <v>143000</v>
      </c>
    </row>
    <row r="104" spans="1:10" x14ac:dyDescent="0.55000000000000004">
      <c r="A104" s="62">
        <v>44287</v>
      </c>
      <c r="B104" s="49"/>
      <c r="C104" s="49" t="s">
        <v>5</v>
      </c>
      <c r="D104" s="49" t="s">
        <v>56</v>
      </c>
      <c r="E104" s="49" t="s">
        <v>5</v>
      </c>
      <c r="F104" s="49">
        <v>1441917</v>
      </c>
      <c r="G104" s="49"/>
      <c r="H104" s="49"/>
      <c r="I104" s="49">
        <v>1441917</v>
      </c>
      <c r="J104" s="49">
        <v>1441917</v>
      </c>
    </row>
    <row r="105" spans="1:10" x14ac:dyDescent="0.55000000000000004">
      <c r="A105" s="62">
        <v>44288</v>
      </c>
      <c r="B105" s="49"/>
      <c r="C105" s="49" t="s">
        <v>6</v>
      </c>
      <c r="D105" s="49" t="s">
        <v>56</v>
      </c>
      <c r="E105" s="49" t="s">
        <v>102</v>
      </c>
      <c r="F105" s="49"/>
      <c r="G105" s="49">
        <v>118044</v>
      </c>
      <c r="H105" s="49"/>
      <c r="I105" s="49">
        <v>118044</v>
      </c>
      <c r="J105" s="49">
        <v>1559961</v>
      </c>
    </row>
    <row r="106" spans="1:10" x14ac:dyDescent="0.55000000000000004">
      <c r="A106" s="62">
        <v>44288</v>
      </c>
      <c r="B106" s="49">
        <v>263211</v>
      </c>
      <c r="C106" s="49" t="s">
        <v>6</v>
      </c>
      <c r="D106" s="49" t="s">
        <v>56</v>
      </c>
      <c r="E106" s="49" t="s">
        <v>103</v>
      </c>
      <c r="F106" s="49"/>
      <c r="G106" s="49">
        <v>179165</v>
      </c>
      <c r="H106" s="49"/>
      <c r="I106" s="49">
        <v>179165</v>
      </c>
      <c r="J106" s="49">
        <v>1739126</v>
      </c>
    </row>
    <row r="107" spans="1:10" x14ac:dyDescent="0.55000000000000004">
      <c r="A107" s="62">
        <v>44292</v>
      </c>
      <c r="B107" s="49">
        <v>259211</v>
      </c>
      <c r="C107" s="49" t="s">
        <v>6</v>
      </c>
      <c r="D107" s="49" t="s">
        <v>56</v>
      </c>
      <c r="E107" s="49" t="s">
        <v>118</v>
      </c>
      <c r="F107" s="49"/>
      <c r="G107" s="49">
        <v>51520</v>
      </c>
      <c r="H107" s="49"/>
      <c r="I107" s="49">
        <v>51520</v>
      </c>
      <c r="J107" s="49">
        <v>1790646</v>
      </c>
    </row>
    <row r="108" spans="1:10" x14ac:dyDescent="0.55000000000000004">
      <c r="A108" s="62">
        <v>44295</v>
      </c>
      <c r="B108" s="49">
        <v>125211</v>
      </c>
      <c r="C108" s="49" t="s">
        <v>7</v>
      </c>
      <c r="D108" s="49" t="s">
        <v>56</v>
      </c>
      <c r="E108" s="49" t="s">
        <v>125</v>
      </c>
      <c r="F108" s="49"/>
      <c r="G108" s="49"/>
      <c r="H108" s="49">
        <v>1000000</v>
      </c>
      <c r="I108" s="49">
        <v>-1000000</v>
      </c>
      <c r="J108" s="49">
        <v>790646</v>
      </c>
    </row>
    <row r="109" spans="1:10" x14ac:dyDescent="0.55000000000000004">
      <c r="A109" s="62">
        <v>44295</v>
      </c>
      <c r="B109" s="49">
        <v>277211</v>
      </c>
      <c r="C109" s="49" t="s">
        <v>6</v>
      </c>
      <c r="D109" s="49" t="s">
        <v>56</v>
      </c>
      <c r="E109" s="49" t="s">
        <v>126</v>
      </c>
      <c r="F109" s="49"/>
      <c r="G109" s="49">
        <v>188818</v>
      </c>
      <c r="H109" s="49"/>
      <c r="I109" s="49">
        <v>188818</v>
      </c>
      <c r="J109" s="49">
        <v>979464</v>
      </c>
    </row>
    <row r="110" spans="1:10" x14ac:dyDescent="0.55000000000000004">
      <c r="A110" s="62">
        <v>44295</v>
      </c>
      <c r="B110" s="49">
        <v>283211</v>
      </c>
      <c r="C110" s="49" t="s">
        <v>6</v>
      </c>
      <c r="D110" s="49" t="s">
        <v>56</v>
      </c>
      <c r="E110" s="49" t="s">
        <v>127</v>
      </c>
      <c r="F110" s="49"/>
      <c r="G110" s="49">
        <v>116029</v>
      </c>
      <c r="H110" s="49"/>
      <c r="I110" s="49">
        <v>116029</v>
      </c>
      <c r="J110" s="49">
        <v>1095493</v>
      </c>
    </row>
    <row r="111" spans="1:10" x14ac:dyDescent="0.55000000000000004">
      <c r="A111" s="62">
        <v>44305</v>
      </c>
      <c r="B111" s="49">
        <v>128211</v>
      </c>
      <c r="C111" s="49" t="s">
        <v>7</v>
      </c>
      <c r="D111" s="49" t="s">
        <v>56</v>
      </c>
      <c r="E111" s="49" t="s">
        <v>125</v>
      </c>
      <c r="F111" s="49"/>
      <c r="G111" s="49"/>
      <c r="H111" s="49">
        <v>500000</v>
      </c>
      <c r="I111" s="49">
        <v>-500000</v>
      </c>
      <c r="J111" s="49">
        <v>595493</v>
      </c>
    </row>
    <row r="112" spans="1:10" x14ac:dyDescent="0.55000000000000004">
      <c r="A112" s="62">
        <v>44305</v>
      </c>
      <c r="B112" s="49">
        <v>300211</v>
      </c>
      <c r="C112" s="49" t="s">
        <v>6</v>
      </c>
      <c r="D112" s="49" t="s">
        <v>56</v>
      </c>
      <c r="E112" s="49" t="s">
        <v>137</v>
      </c>
      <c r="F112" s="49"/>
      <c r="G112" s="49">
        <v>373630</v>
      </c>
      <c r="H112" s="49"/>
      <c r="I112" s="49">
        <v>373630</v>
      </c>
      <c r="J112" s="49">
        <v>969123</v>
      </c>
    </row>
    <row r="113" spans="1:10" x14ac:dyDescent="0.55000000000000004">
      <c r="A113" s="62">
        <v>44307</v>
      </c>
      <c r="B113" s="49">
        <v>307211</v>
      </c>
      <c r="C113" s="49" t="s">
        <v>6</v>
      </c>
      <c r="D113" s="49" t="s">
        <v>56</v>
      </c>
      <c r="E113" s="49" t="s">
        <v>142</v>
      </c>
      <c r="F113" s="49"/>
      <c r="G113" s="49">
        <v>217311</v>
      </c>
      <c r="H113" s="49"/>
      <c r="I113" s="49">
        <v>217311</v>
      </c>
      <c r="J113" s="49">
        <v>1186434</v>
      </c>
    </row>
    <row r="114" spans="1:10" x14ac:dyDescent="0.55000000000000004">
      <c r="A114" s="62">
        <v>44309</v>
      </c>
      <c r="B114" s="49">
        <v>315211</v>
      </c>
      <c r="C114" s="49" t="s">
        <v>6</v>
      </c>
      <c r="D114" s="49" t="s">
        <v>56</v>
      </c>
      <c r="E114" s="49" t="s">
        <v>155</v>
      </c>
      <c r="F114" s="49"/>
      <c r="G114" s="49">
        <v>239450</v>
      </c>
      <c r="H114" s="49"/>
      <c r="I114" s="49">
        <v>239450</v>
      </c>
      <c r="J114" s="49">
        <v>1425884</v>
      </c>
    </row>
    <row r="115" spans="1:10" x14ac:dyDescent="0.55000000000000004">
      <c r="A115" s="62">
        <v>44309</v>
      </c>
      <c r="B115" s="49">
        <v>318211</v>
      </c>
      <c r="C115" s="49" t="s">
        <v>6</v>
      </c>
      <c r="D115" s="49" t="s">
        <v>56</v>
      </c>
      <c r="E115" s="49" t="s">
        <v>156</v>
      </c>
      <c r="F115" s="49"/>
      <c r="G115" s="49">
        <v>153821</v>
      </c>
      <c r="H115" s="49"/>
      <c r="I115" s="49">
        <v>153821</v>
      </c>
      <c r="J115" s="49">
        <v>1579705</v>
      </c>
    </row>
    <row r="116" spans="1:10" x14ac:dyDescent="0.55000000000000004">
      <c r="A116" s="62">
        <v>44312</v>
      </c>
      <c r="B116" s="49">
        <v>331211</v>
      </c>
      <c r="C116" s="49" t="s">
        <v>6</v>
      </c>
      <c r="D116" s="49" t="s">
        <v>56</v>
      </c>
      <c r="E116" s="49" t="s">
        <v>162</v>
      </c>
      <c r="F116" s="49"/>
      <c r="G116" s="49">
        <v>143560</v>
      </c>
      <c r="H116" s="49"/>
      <c r="I116" s="49">
        <v>143560</v>
      </c>
      <c r="J116" s="49">
        <v>1723265</v>
      </c>
    </row>
    <row r="117" spans="1:10" x14ac:dyDescent="0.55000000000000004">
      <c r="A117" s="62">
        <v>44314</v>
      </c>
      <c r="B117" s="49">
        <v>146211</v>
      </c>
      <c r="C117" s="49" t="s">
        <v>7</v>
      </c>
      <c r="D117" s="49" t="s">
        <v>56</v>
      </c>
      <c r="E117" s="49" t="s">
        <v>125</v>
      </c>
      <c r="F117" s="49"/>
      <c r="G117" s="49"/>
      <c r="H117" s="49">
        <v>500000</v>
      </c>
      <c r="I117" s="49">
        <v>-500000</v>
      </c>
      <c r="J117" s="49">
        <v>1223265</v>
      </c>
    </row>
    <row r="118" spans="1:10" x14ac:dyDescent="0.55000000000000004">
      <c r="A118" s="62">
        <v>44314</v>
      </c>
      <c r="B118" s="49">
        <v>364211</v>
      </c>
      <c r="C118" s="49" t="s">
        <v>6</v>
      </c>
      <c r="D118" s="49" t="s">
        <v>56</v>
      </c>
      <c r="E118" s="49" t="s">
        <v>166</v>
      </c>
      <c r="F118" s="49"/>
      <c r="G118" s="49">
        <v>305365</v>
      </c>
      <c r="H118" s="49"/>
      <c r="I118" s="49">
        <v>305365</v>
      </c>
      <c r="J118" s="49">
        <v>1528630</v>
      </c>
    </row>
    <row r="119" spans="1:10" x14ac:dyDescent="0.55000000000000004">
      <c r="B119" s="49"/>
      <c r="C119" s="49"/>
      <c r="D119" s="49"/>
      <c r="E119" s="49"/>
      <c r="F119" s="49"/>
      <c r="G119" s="49"/>
      <c r="H119" s="49"/>
      <c r="I119" s="49"/>
      <c r="J119" s="49"/>
    </row>
    <row r="120" spans="1:10" x14ac:dyDescent="0.55000000000000004">
      <c r="B120" s="49"/>
      <c r="C120" s="49"/>
      <c r="D120" s="49"/>
      <c r="E120" s="49"/>
      <c r="F120" s="49"/>
      <c r="G120" s="49"/>
      <c r="H120" s="49"/>
      <c r="I120" s="49"/>
      <c r="J120" s="49"/>
    </row>
    <row r="121" spans="1:10" x14ac:dyDescent="0.55000000000000004">
      <c r="B121" s="49"/>
      <c r="C121" s="49"/>
      <c r="D121" s="49"/>
      <c r="E121" s="49"/>
      <c r="F121" s="49"/>
      <c r="G121" s="49"/>
      <c r="H121" s="49"/>
      <c r="I121" s="49"/>
      <c r="J121" s="49"/>
    </row>
    <row r="122" spans="1:10" x14ac:dyDescent="0.55000000000000004">
      <c r="B122" s="49"/>
      <c r="C122" s="49"/>
      <c r="D122" s="49"/>
      <c r="E122" s="49"/>
      <c r="F122" s="49"/>
      <c r="G122" s="49"/>
      <c r="H122" s="49"/>
      <c r="I122" s="49"/>
      <c r="J122" s="49"/>
    </row>
    <row r="123" spans="1:10" x14ac:dyDescent="0.55000000000000004">
      <c r="B123" s="49"/>
      <c r="C123" s="49"/>
      <c r="D123" s="49"/>
      <c r="E123" s="49"/>
      <c r="F123" s="49"/>
      <c r="G123" s="49"/>
      <c r="H123" s="49"/>
      <c r="I123" s="49"/>
      <c r="J123" s="49"/>
    </row>
    <row r="124" spans="1:10" x14ac:dyDescent="0.55000000000000004">
      <c r="B124" s="49"/>
      <c r="C124" s="49"/>
      <c r="D124" s="49"/>
      <c r="E124" s="49"/>
      <c r="F124" s="49"/>
      <c r="G124" s="49"/>
      <c r="H124" s="49"/>
      <c r="I124" s="49"/>
      <c r="J124" s="49"/>
    </row>
    <row r="125" spans="1:10" x14ac:dyDescent="0.55000000000000004">
      <c r="B125" s="49"/>
      <c r="C125" s="49"/>
      <c r="D125" s="49"/>
      <c r="E125" s="49"/>
      <c r="F125" s="49"/>
      <c r="G125" s="49"/>
      <c r="H125" s="49"/>
      <c r="I125" s="49"/>
      <c r="J125" s="49"/>
    </row>
    <row r="126" spans="1:10" x14ac:dyDescent="0.55000000000000004">
      <c r="B126" s="49"/>
      <c r="C126" s="49"/>
      <c r="D126" s="49"/>
      <c r="E126" s="49"/>
      <c r="F126" s="49"/>
      <c r="G126" s="49"/>
      <c r="H126" s="49"/>
      <c r="I126" s="49"/>
      <c r="J126" s="49"/>
    </row>
    <row r="127" spans="1:10" x14ac:dyDescent="0.55000000000000004">
      <c r="B127" s="49"/>
      <c r="C127" s="49"/>
      <c r="D127" s="49"/>
      <c r="E127" s="49"/>
      <c r="F127" s="49"/>
      <c r="G127" s="49"/>
      <c r="H127" s="49"/>
      <c r="I127" s="49"/>
      <c r="J127" s="49"/>
    </row>
    <row r="128" spans="1:10" x14ac:dyDescent="0.55000000000000004">
      <c r="B128" s="49"/>
      <c r="C128" s="49"/>
      <c r="D128" s="49"/>
      <c r="E128" s="49"/>
      <c r="F128" s="49"/>
      <c r="G128" s="49"/>
      <c r="H128" s="49"/>
      <c r="I128" s="49"/>
      <c r="J128" s="49"/>
    </row>
    <row r="129" spans="2:10" x14ac:dyDescent="0.55000000000000004">
      <c r="B129" s="49"/>
      <c r="C129" s="49"/>
      <c r="D129" s="49"/>
      <c r="E129" s="49"/>
      <c r="F129" s="49"/>
      <c r="G129" s="49"/>
      <c r="H129" s="49"/>
      <c r="I129" s="49"/>
      <c r="J129" s="49"/>
    </row>
    <row r="130" spans="2:10" x14ac:dyDescent="0.55000000000000004">
      <c r="B130" s="49"/>
      <c r="C130" s="49"/>
      <c r="D130" s="49"/>
      <c r="E130" s="49"/>
      <c r="F130" s="49"/>
      <c r="G130" s="49"/>
      <c r="H130" s="49"/>
      <c r="I130" s="49"/>
      <c r="J130" s="49"/>
    </row>
    <row r="131" spans="2:10" x14ac:dyDescent="0.55000000000000004">
      <c r="B131" s="49"/>
      <c r="C131" s="49"/>
      <c r="D131" s="49"/>
      <c r="E131" s="49"/>
      <c r="F131" s="49"/>
      <c r="G131" s="49"/>
      <c r="H131" s="49"/>
      <c r="I131" s="49"/>
      <c r="J131" s="49"/>
    </row>
    <row r="132" spans="2:10" x14ac:dyDescent="0.55000000000000004">
      <c r="B132" s="49"/>
      <c r="C132" s="49"/>
      <c r="D132" s="49"/>
      <c r="E132" s="49"/>
      <c r="F132" s="49"/>
      <c r="G132" s="49"/>
      <c r="H132" s="49"/>
      <c r="I132" s="49"/>
      <c r="J132" s="49"/>
    </row>
    <row r="133" spans="2:10" x14ac:dyDescent="0.55000000000000004">
      <c r="B133" s="49"/>
      <c r="C133" s="49"/>
      <c r="D133" s="49"/>
      <c r="E133" s="49"/>
      <c r="F133" s="49"/>
      <c r="G133" s="49"/>
      <c r="H133" s="49"/>
      <c r="I133" s="49"/>
      <c r="J133" s="49"/>
    </row>
    <row r="134" spans="2:10" x14ac:dyDescent="0.55000000000000004">
      <c r="B134" s="49"/>
      <c r="C134" s="49"/>
      <c r="D134" s="49"/>
      <c r="E134" s="49"/>
      <c r="F134" s="49"/>
      <c r="G134" s="49"/>
      <c r="H134" s="49"/>
      <c r="I134" s="49"/>
      <c r="J134" s="49"/>
    </row>
    <row r="135" spans="2:10" x14ac:dyDescent="0.55000000000000004">
      <c r="B135" s="49"/>
      <c r="C135" s="49"/>
      <c r="D135" s="49"/>
      <c r="E135" s="49"/>
      <c r="F135" s="49"/>
      <c r="G135" s="49"/>
      <c r="H135" s="49"/>
      <c r="I135" s="49"/>
      <c r="J135" s="49"/>
    </row>
    <row r="136" spans="2:10" x14ac:dyDescent="0.55000000000000004">
      <c r="B136" s="49"/>
      <c r="C136" s="49"/>
      <c r="D136" s="49"/>
      <c r="E136" s="49"/>
      <c r="F136" s="49"/>
      <c r="G136" s="49"/>
      <c r="H136" s="49"/>
      <c r="I136" s="49"/>
      <c r="J136" s="49"/>
    </row>
    <row r="137" spans="2:10" x14ac:dyDescent="0.55000000000000004">
      <c r="B137" s="49"/>
      <c r="C137" s="49"/>
      <c r="D137" s="49"/>
      <c r="E137" s="49"/>
      <c r="F137" s="49"/>
      <c r="G137" s="49"/>
      <c r="H137" s="49"/>
      <c r="I137" s="49"/>
      <c r="J137" s="49"/>
    </row>
    <row r="138" spans="2:10" x14ac:dyDescent="0.55000000000000004">
      <c r="B138" s="49"/>
      <c r="C138" s="49"/>
      <c r="D138" s="49"/>
      <c r="E138" s="49"/>
      <c r="F138" s="49"/>
      <c r="G138" s="49"/>
      <c r="H138" s="49"/>
      <c r="I138" s="49"/>
      <c r="J138" s="49"/>
    </row>
    <row r="139" spans="2:10" x14ac:dyDescent="0.55000000000000004">
      <c r="B139" s="49"/>
      <c r="C139" s="49"/>
      <c r="D139" s="49"/>
      <c r="E139" s="49"/>
      <c r="F139" s="49"/>
      <c r="G139" s="49"/>
      <c r="H139" s="49"/>
      <c r="I139" s="49"/>
      <c r="J139" s="49"/>
    </row>
    <row r="140" spans="2:10" x14ac:dyDescent="0.55000000000000004">
      <c r="B140" s="49"/>
      <c r="C140" s="49"/>
      <c r="D140" s="49"/>
      <c r="E140" s="49"/>
      <c r="F140" s="49"/>
      <c r="G140" s="49"/>
      <c r="H140" s="49"/>
      <c r="I140" s="49"/>
      <c r="J140" s="49"/>
    </row>
    <row r="141" spans="2:10" x14ac:dyDescent="0.55000000000000004">
      <c r="B141" s="49"/>
      <c r="C141" s="49"/>
      <c r="D141" s="49"/>
      <c r="E141" s="49"/>
      <c r="F141" s="49"/>
      <c r="G141" s="49"/>
      <c r="H141" s="49"/>
      <c r="I141" s="49"/>
      <c r="J141" s="49"/>
    </row>
    <row r="142" spans="2:10" x14ac:dyDescent="0.55000000000000004">
      <c r="B142" s="49"/>
      <c r="C142" s="49"/>
      <c r="D142" s="49"/>
      <c r="E142" s="49"/>
      <c r="F142" s="49"/>
      <c r="G142" s="49"/>
      <c r="H142" s="49"/>
      <c r="I142" s="49"/>
      <c r="J142" s="49"/>
    </row>
    <row r="143" spans="2:10" x14ac:dyDescent="0.55000000000000004">
      <c r="B143" s="49"/>
      <c r="C143" s="49"/>
      <c r="D143" s="49"/>
      <c r="E143" s="49"/>
      <c r="F143" s="49"/>
      <c r="G143" s="49"/>
      <c r="H143" s="49"/>
      <c r="I143" s="49"/>
      <c r="J143" s="49"/>
    </row>
    <row r="144" spans="2:10" x14ac:dyDescent="0.55000000000000004">
      <c r="B144" s="49"/>
      <c r="C144" s="49"/>
      <c r="D144" s="49"/>
      <c r="E144" s="49"/>
      <c r="F144" s="49"/>
      <c r="G144" s="49"/>
      <c r="H144" s="49"/>
      <c r="I144" s="49"/>
      <c r="J144" s="49"/>
    </row>
    <row r="145" spans="2:10" x14ac:dyDescent="0.55000000000000004">
      <c r="B145" s="49"/>
      <c r="C145" s="49"/>
      <c r="D145" s="49"/>
      <c r="E145" s="49"/>
      <c r="F145" s="49"/>
      <c r="G145" s="49"/>
      <c r="H145" s="49"/>
      <c r="I145" s="49"/>
      <c r="J145" s="49"/>
    </row>
    <row r="146" spans="2:10" x14ac:dyDescent="0.55000000000000004">
      <c r="B146" s="49"/>
      <c r="C146" s="49"/>
      <c r="D146" s="49"/>
      <c r="E146" s="49"/>
      <c r="F146" s="49"/>
      <c r="G146" s="49"/>
      <c r="H146" s="49"/>
      <c r="I146" s="49"/>
      <c r="J146" s="49"/>
    </row>
    <row r="147" spans="2:10" x14ac:dyDescent="0.55000000000000004">
      <c r="B147" s="49"/>
      <c r="C147" s="49"/>
      <c r="D147" s="49"/>
      <c r="E147" s="49"/>
      <c r="F147" s="49"/>
      <c r="G147" s="49"/>
      <c r="H147" s="49"/>
      <c r="I147" s="49"/>
      <c r="J147" s="49"/>
    </row>
    <row r="148" spans="2:10" x14ac:dyDescent="0.55000000000000004">
      <c r="B148" s="49"/>
      <c r="C148" s="49"/>
      <c r="D148" s="49"/>
      <c r="E148" s="49"/>
      <c r="F148" s="49"/>
      <c r="G148" s="49"/>
      <c r="H148" s="49"/>
      <c r="I148" s="49"/>
      <c r="J148" s="49"/>
    </row>
    <row r="149" spans="2:10" x14ac:dyDescent="0.55000000000000004">
      <c r="B149" s="49"/>
      <c r="C149" s="49"/>
      <c r="D149" s="49"/>
      <c r="E149" s="49"/>
      <c r="F149" s="49"/>
      <c r="G149" s="49"/>
      <c r="H149" s="49"/>
      <c r="I149" s="49"/>
      <c r="J149" s="49"/>
    </row>
    <row r="150" spans="2:10" x14ac:dyDescent="0.55000000000000004">
      <c r="B150" s="49"/>
      <c r="C150" s="49"/>
      <c r="D150" s="49"/>
      <c r="E150" s="49"/>
      <c r="F150" s="49"/>
      <c r="G150" s="49"/>
      <c r="H150" s="49"/>
      <c r="I150" s="49"/>
      <c r="J150" s="49"/>
    </row>
    <row r="151" spans="2:10" x14ac:dyDescent="0.55000000000000004">
      <c r="B151" s="49"/>
      <c r="C151" s="49"/>
      <c r="D151" s="49"/>
      <c r="E151" s="49"/>
      <c r="F151" s="49"/>
      <c r="G151" s="49"/>
      <c r="H151" s="49"/>
      <c r="I151" s="49"/>
      <c r="J151" s="49"/>
    </row>
    <row r="152" spans="2:10" x14ac:dyDescent="0.55000000000000004">
      <c r="B152" s="49"/>
      <c r="C152" s="49"/>
      <c r="D152" s="49"/>
      <c r="E152" s="49"/>
      <c r="F152" s="49"/>
      <c r="G152" s="49"/>
      <c r="H152" s="49"/>
      <c r="I152" s="49"/>
      <c r="J152" s="49"/>
    </row>
    <row r="153" spans="2:10" x14ac:dyDescent="0.55000000000000004">
      <c r="B153" s="49"/>
      <c r="C153" s="49"/>
      <c r="D153" s="49"/>
      <c r="E153" s="49"/>
      <c r="F153" s="49"/>
      <c r="G153" s="49"/>
      <c r="H153" s="49"/>
      <c r="I153" s="49"/>
      <c r="J153" s="49"/>
    </row>
    <row r="154" spans="2:10" x14ac:dyDescent="0.55000000000000004">
      <c r="B154" s="49"/>
      <c r="C154" s="49"/>
      <c r="D154" s="49"/>
      <c r="E154" s="49"/>
      <c r="F154" s="49"/>
      <c r="G154" s="49"/>
      <c r="H154" s="49"/>
      <c r="I154" s="49"/>
      <c r="J154" s="49"/>
    </row>
    <row r="155" spans="2:10" x14ac:dyDescent="0.55000000000000004">
      <c r="B155" s="49"/>
      <c r="C155" s="49"/>
      <c r="D155" s="49"/>
      <c r="E155" s="49"/>
      <c r="F155" s="49"/>
      <c r="G155" s="49"/>
      <c r="H155" s="49"/>
      <c r="I155" s="49"/>
      <c r="J155" s="49"/>
    </row>
    <row r="156" spans="2:10" x14ac:dyDescent="0.55000000000000004">
      <c r="B156" s="49"/>
      <c r="C156" s="49"/>
      <c r="D156" s="49"/>
      <c r="E156" s="49"/>
      <c r="F156" s="49"/>
      <c r="G156" s="49"/>
      <c r="H156" s="49"/>
      <c r="I156" s="49"/>
      <c r="J156" s="49"/>
    </row>
    <row r="157" spans="2:10" x14ac:dyDescent="0.55000000000000004">
      <c r="B157" s="49"/>
      <c r="C157" s="49"/>
      <c r="D157" s="49"/>
      <c r="E157" s="49"/>
      <c r="F157" s="49"/>
      <c r="G157" s="49"/>
      <c r="H157" s="49"/>
      <c r="I157" s="49"/>
      <c r="J157" s="49"/>
    </row>
    <row r="158" spans="2:10" x14ac:dyDescent="0.55000000000000004">
      <c r="B158" s="49"/>
      <c r="C158" s="49"/>
      <c r="D158" s="49"/>
      <c r="E158" s="49"/>
      <c r="F158" s="49"/>
      <c r="G158" s="49"/>
      <c r="H158" s="49"/>
      <c r="I158" s="49"/>
      <c r="J158" s="49"/>
    </row>
    <row r="159" spans="2:10" x14ac:dyDescent="0.55000000000000004">
      <c r="B159" s="49"/>
      <c r="C159" s="49"/>
      <c r="D159" s="49"/>
      <c r="E159" s="49"/>
      <c r="F159" s="49"/>
      <c r="G159" s="49"/>
      <c r="H159" s="49"/>
      <c r="I159" s="49"/>
      <c r="J159" s="49"/>
    </row>
    <row r="160" spans="2:10" x14ac:dyDescent="0.55000000000000004">
      <c r="B160" s="49"/>
      <c r="C160" s="49"/>
      <c r="D160" s="49"/>
      <c r="E160" s="49"/>
      <c r="F160" s="49"/>
      <c r="G160" s="49"/>
      <c r="H160" s="49"/>
      <c r="I160" s="49"/>
      <c r="J160" s="49"/>
    </row>
    <row r="161" spans="2:10" x14ac:dyDescent="0.55000000000000004">
      <c r="B161" s="49"/>
      <c r="C161" s="49"/>
      <c r="D161" s="49"/>
      <c r="E161" s="49"/>
      <c r="F161" s="49"/>
      <c r="G161" s="49"/>
      <c r="H161" s="49"/>
      <c r="I161" s="49"/>
      <c r="J161" s="49"/>
    </row>
    <row r="162" spans="2:10" x14ac:dyDescent="0.55000000000000004">
      <c r="B162" s="49"/>
      <c r="C162" s="49"/>
      <c r="D162" s="49"/>
      <c r="E162" s="49"/>
      <c r="F162" s="49"/>
      <c r="G162" s="49"/>
      <c r="H162" s="49"/>
      <c r="I162" s="49"/>
      <c r="J162" s="49"/>
    </row>
    <row r="163" spans="2:10" x14ac:dyDescent="0.55000000000000004">
      <c r="B163" s="49"/>
      <c r="C163" s="49"/>
      <c r="D163" s="49"/>
      <c r="E163" s="49"/>
      <c r="F163" s="49"/>
      <c r="G163" s="49"/>
      <c r="H163" s="49"/>
      <c r="I163" s="49"/>
      <c r="J163" s="49"/>
    </row>
    <row r="164" spans="2:10" x14ac:dyDescent="0.55000000000000004">
      <c r="B164" s="49"/>
      <c r="C164" s="49"/>
      <c r="D164" s="49"/>
      <c r="E164" s="49"/>
      <c r="F164" s="49"/>
      <c r="G164" s="49"/>
      <c r="H164" s="49"/>
      <c r="I164" s="49"/>
      <c r="J164" s="49"/>
    </row>
    <row r="165" spans="2:10" x14ac:dyDescent="0.55000000000000004">
      <c r="B165" s="49"/>
      <c r="C165" s="49"/>
      <c r="D165" s="49"/>
      <c r="E165" s="49"/>
      <c r="F165" s="49"/>
      <c r="G165" s="49"/>
      <c r="H165" s="49"/>
      <c r="I165" s="49"/>
      <c r="J165" s="49"/>
    </row>
    <row r="166" spans="2:10" x14ac:dyDescent="0.55000000000000004">
      <c r="B166" s="49"/>
      <c r="C166" s="49"/>
      <c r="D166" s="49"/>
      <c r="E166" s="49"/>
      <c r="F166" s="49"/>
      <c r="G166" s="49"/>
      <c r="H166" s="49"/>
      <c r="I166" s="49"/>
      <c r="J166" s="49"/>
    </row>
    <row r="167" spans="2:10" x14ac:dyDescent="0.55000000000000004">
      <c r="B167" s="49"/>
      <c r="C167" s="49"/>
      <c r="D167" s="49"/>
      <c r="E167" s="49"/>
      <c r="F167" s="49"/>
      <c r="G167" s="49"/>
      <c r="H167" s="49"/>
      <c r="I167" s="49"/>
      <c r="J167" s="49"/>
    </row>
    <row r="168" spans="2:10" x14ac:dyDescent="0.55000000000000004">
      <c r="B168" s="49"/>
      <c r="C168" s="49"/>
      <c r="D168" s="49"/>
      <c r="E168" s="49"/>
      <c r="F168" s="49"/>
      <c r="G168" s="49"/>
      <c r="H168" s="49"/>
      <c r="I168" s="49"/>
      <c r="J168" s="49"/>
    </row>
    <row r="169" spans="2:10" x14ac:dyDescent="0.55000000000000004">
      <c r="B169" s="49"/>
      <c r="C169" s="49"/>
      <c r="D169" s="49"/>
      <c r="E169" s="49"/>
      <c r="F169" s="49"/>
      <c r="G169" s="49"/>
      <c r="H169" s="49"/>
      <c r="I169" s="49"/>
      <c r="J169" s="49"/>
    </row>
    <row r="170" spans="2:10" x14ac:dyDescent="0.55000000000000004">
      <c r="B170" s="49"/>
      <c r="C170" s="49"/>
      <c r="D170" s="49"/>
      <c r="E170" s="49"/>
      <c r="F170" s="49"/>
      <c r="G170" s="49"/>
      <c r="H170" s="49"/>
      <c r="I170" s="49"/>
      <c r="J170" s="49"/>
    </row>
    <row r="171" spans="2:10" x14ac:dyDescent="0.55000000000000004">
      <c r="B171" s="49"/>
      <c r="C171" s="49"/>
      <c r="D171" s="49"/>
      <c r="E171" s="49"/>
      <c r="F171" s="49"/>
      <c r="G171" s="49"/>
      <c r="H171" s="49"/>
      <c r="I171" s="49"/>
      <c r="J171" s="49"/>
    </row>
    <row r="172" spans="2:10" x14ac:dyDescent="0.55000000000000004">
      <c r="B172" s="49"/>
      <c r="C172" s="49"/>
      <c r="D172" s="49"/>
      <c r="E172" s="49"/>
      <c r="F172" s="49"/>
      <c r="G172" s="49"/>
      <c r="H172" s="49"/>
      <c r="I172" s="49"/>
      <c r="J172" s="49"/>
    </row>
    <row r="173" spans="2:10" x14ac:dyDescent="0.55000000000000004">
      <c r="B173" s="49"/>
      <c r="C173" s="49"/>
      <c r="D173" s="49"/>
      <c r="E173" s="49"/>
      <c r="F173" s="49"/>
      <c r="G173" s="49"/>
      <c r="H173" s="49"/>
      <c r="I173" s="49"/>
      <c r="J173" s="49"/>
    </row>
    <row r="174" spans="2:10" x14ac:dyDescent="0.55000000000000004">
      <c r="B174" s="49"/>
      <c r="C174" s="49"/>
      <c r="D174" s="49"/>
      <c r="E174" s="49"/>
      <c r="F174" s="49"/>
      <c r="G174" s="49"/>
      <c r="H174" s="49"/>
      <c r="I174" s="49"/>
      <c r="J174" s="49"/>
    </row>
    <row r="175" spans="2:10" x14ac:dyDescent="0.55000000000000004">
      <c r="B175" s="49"/>
      <c r="C175" s="49"/>
      <c r="D175" s="49"/>
      <c r="E175" s="49"/>
      <c r="F175" s="49"/>
      <c r="G175" s="49"/>
      <c r="H175" s="49"/>
      <c r="I175" s="49"/>
      <c r="J175" s="49"/>
    </row>
    <row r="176" spans="2:10" x14ac:dyDescent="0.55000000000000004">
      <c r="B176" s="49"/>
      <c r="C176" s="49"/>
      <c r="D176" s="49"/>
      <c r="E176" s="49"/>
      <c r="F176" s="49"/>
      <c r="G176" s="49"/>
      <c r="H176" s="49"/>
      <c r="I176" s="49"/>
      <c r="J176" s="49"/>
    </row>
    <row r="177" spans="2:10" x14ac:dyDescent="0.55000000000000004">
      <c r="B177" s="49"/>
      <c r="C177" s="49"/>
      <c r="D177" s="49"/>
      <c r="E177" s="49"/>
      <c r="F177" s="49"/>
      <c r="G177" s="49"/>
      <c r="H177" s="49"/>
      <c r="I177" s="49"/>
      <c r="J177" s="49"/>
    </row>
    <row r="178" spans="2:10" x14ac:dyDescent="0.55000000000000004">
      <c r="B178" s="49"/>
      <c r="C178" s="49"/>
      <c r="D178" s="49"/>
      <c r="E178" s="49"/>
      <c r="F178" s="49"/>
      <c r="G178" s="49"/>
      <c r="H178" s="49"/>
      <c r="I178" s="49"/>
      <c r="J178" s="49"/>
    </row>
    <row r="179" spans="2:10" x14ac:dyDescent="0.55000000000000004">
      <c r="B179" s="49"/>
      <c r="C179" s="49"/>
      <c r="D179" s="49"/>
      <c r="E179" s="49"/>
      <c r="F179" s="49"/>
      <c r="G179" s="49"/>
      <c r="H179" s="49"/>
      <c r="I179" s="49"/>
      <c r="J179" s="49"/>
    </row>
    <row r="180" spans="2:10" x14ac:dyDescent="0.55000000000000004">
      <c r="B180" s="49"/>
      <c r="C180" s="49"/>
      <c r="D180" s="49"/>
      <c r="E180" s="49"/>
      <c r="F180" s="49"/>
      <c r="G180" s="49"/>
      <c r="H180" s="49"/>
      <c r="I180" s="49"/>
      <c r="J180" s="49"/>
    </row>
    <row r="181" spans="2:10" x14ac:dyDescent="0.55000000000000004">
      <c r="B181" s="49"/>
      <c r="C181" s="49"/>
      <c r="D181" s="49"/>
      <c r="E181" s="49"/>
      <c r="F181" s="49"/>
      <c r="G181" s="49"/>
      <c r="H181" s="49"/>
      <c r="I181" s="49"/>
      <c r="J181" s="49"/>
    </row>
    <row r="182" spans="2:10" x14ac:dyDescent="0.55000000000000004">
      <c r="B182" s="49"/>
      <c r="C182" s="49"/>
      <c r="D182" s="49"/>
      <c r="E182" s="49"/>
      <c r="F182" s="49"/>
      <c r="G182" s="49"/>
      <c r="H182" s="49"/>
      <c r="I182" s="49"/>
      <c r="J182" s="49"/>
    </row>
    <row r="183" spans="2:10" x14ac:dyDescent="0.55000000000000004">
      <c r="B183" s="49"/>
      <c r="C183" s="49"/>
      <c r="D183" s="49"/>
      <c r="E183" s="49"/>
      <c r="F183" s="49"/>
      <c r="G183" s="49"/>
      <c r="H183" s="49"/>
      <c r="I183" s="49"/>
      <c r="J183" s="49"/>
    </row>
    <row r="184" spans="2:10" x14ac:dyDescent="0.55000000000000004">
      <c r="B184" s="49"/>
      <c r="C184" s="49"/>
      <c r="D184" s="49"/>
      <c r="E184" s="49"/>
      <c r="F184" s="49"/>
      <c r="G184" s="49"/>
      <c r="H184" s="49"/>
      <c r="I184" s="49"/>
      <c r="J184" s="49"/>
    </row>
    <row r="185" spans="2:10" x14ac:dyDescent="0.55000000000000004">
      <c r="B185" s="49"/>
      <c r="C185" s="49"/>
      <c r="D185" s="49"/>
      <c r="E185" s="49"/>
      <c r="F185" s="49"/>
      <c r="G185" s="49"/>
      <c r="H185" s="49"/>
      <c r="I185" s="49"/>
      <c r="J185" s="49"/>
    </row>
    <row r="186" spans="2:10" x14ac:dyDescent="0.55000000000000004">
      <c r="B186" s="49"/>
      <c r="C186" s="49"/>
      <c r="D186" s="49"/>
      <c r="E186" s="49"/>
      <c r="F186" s="49"/>
      <c r="G186" s="49"/>
      <c r="H186" s="49"/>
      <c r="I186" s="49"/>
      <c r="J186" s="49"/>
    </row>
    <row r="187" spans="2:10" x14ac:dyDescent="0.55000000000000004">
      <c r="B187" s="49"/>
      <c r="C187" s="49"/>
      <c r="D187" s="49"/>
      <c r="E187" s="49"/>
      <c r="F187" s="49"/>
      <c r="G187" s="49"/>
      <c r="H187" s="49"/>
      <c r="I187" s="49"/>
      <c r="J187" s="49"/>
    </row>
    <row r="188" spans="2:10" x14ac:dyDescent="0.55000000000000004">
      <c r="B188" s="49"/>
      <c r="C188" s="49"/>
      <c r="D188" s="49"/>
      <c r="E188" s="49"/>
      <c r="F188" s="49"/>
      <c r="G188" s="49"/>
      <c r="H188" s="49"/>
      <c r="I188" s="49"/>
      <c r="J188" s="49"/>
    </row>
    <row r="189" spans="2:10" x14ac:dyDescent="0.55000000000000004">
      <c r="B189" s="49"/>
      <c r="C189" s="49"/>
      <c r="D189" s="49"/>
      <c r="E189" s="49"/>
      <c r="F189" s="49"/>
      <c r="G189" s="49"/>
      <c r="H189" s="49"/>
      <c r="I189" s="49"/>
      <c r="J189" s="49"/>
    </row>
    <row r="190" spans="2:10" x14ac:dyDescent="0.55000000000000004">
      <c r="B190" s="49"/>
      <c r="C190" s="49"/>
      <c r="D190" s="49"/>
      <c r="E190" s="49"/>
      <c r="F190" s="49"/>
      <c r="G190" s="49"/>
      <c r="H190" s="49"/>
      <c r="I190" s="49"/>
      <c r="J190" s="49"/>
    </row>
    <row r="191" spans="2:10" x14ac:dyDescent="0.55000000000000004">
      <c r="B191" s="49"/>
      <c r="C191" s="49"/>
      <c r="D191" s="49"/>
      <c r="E191" s="49"/>
      <c r="F191" s="49"/>
      <c r="G191" s="49"/>
      <c r="H191" s="49"/>
      <c r="I191" s="49"/>
      <c r="J191" s="49"/>
    </row>
    <row r="192" spans="2:10" x14ac:dyDescent="0.55000000000000004">
      <c r="B192" s="49"/>
      <c r="C192" s="49"/>
      <c r="D192" s="49"/>
      <c r="E192" s="49"/>
      <c r="F192" s="49"/>
      <c r="G192" s="49"/>
      <c r="H192" s="49"/>
      <c r="I192" s="49"/>
      <c r="J192" s="49"/>
    </row>
    <row r="193" spans="2:10" x14ac:dyDescent="0.55000000000000004">
      <c r="B193" s="49"/>
      <c r="C193" s="49"/>
      <c r="D193" s="49"/>
      <c r="E193" s="49"/>
      <c r="F193" s="49"/>
      <c r="G193" s="49"/>
      <c r="H193" s="49"/>
      <c r="I193" s="49"/>
      <c r="J193" s="49"/>
    </row>
    <row r="194" spans="2:10" x14ac:dyDescent="0.55000000000000004">
      <c r="B194" s="49"/>
      <c r="C194" s="49"/>
      <c r="D194" s="49"/>
      <c r="E194" s="49"/>
      <c r="F194" s="49"/>
      <c r="G194" s="49"/>
      <c r="H194" s="49"/>
      <c r="I194" s="49"/>
      <c r="J194" s="49"/>
    </row>
    <row r="195" spans="2:10" x14ac:dyDescent="0.55000000000000004">
      <c r="B195" s="49"/>
      <c r="C195" s="49"/>
      <c r="D195" s="49"/>
      <c r="E195" s="49"/>
      <c r="F195" s="49"/>
      <c r="G195" s="49"/>
      <c r="H195" s="49"/>
      <c r="I195" s="49"/>
      <c r="J195" s="49"/>
    </row>
    <row r="196" spans="2:10" x14ac:dyDescent="0.55000000000000004">
      <c r="B196" s="49"/>
      <c r="C196" s="49"/>
      <c r="D196" s="49"/>
      <c r="E196" s="49"/>
      <c r="F196" s="49"/>
      <c r="G196" s="49"/>
      <c r="H196" s="49"/>
      <c r="I196" s="49"/>
      <c r="J196" s="49"/>
    </row>
    <row r="197" spans="2:10" x14ac:dyDescent="0.55000000000000004">
      <c r="B197" s="49"/>
      <c r="C197" s="49"/>
      <c r="D197" s="49"/>
      <c r="E197" s="49"/>
      <c r="F197" s="49"/>
      <c r="G197" s="49"/>
      <c r="H197" s="49"/>
      <c r="I197" s="49"/>
      <c r="J197" s="49"/>
    </row>
    <row r="198" spans="2:10" x14ac:dyDescent="0.55000000000000004">
      <c r="B198" s="49"/>
      <c r="C198" s="49"/>
      <c r="D198" s="49"/>
      <c r="E198" s="49"/>
      <c r="F198" s="49"/>
      <c r="G198" s="49"/>
      <c r="H198" s="49"/>
      <c r="I198" s="49"/>
      <c r="J198" s="49"/>
    </row>
    <row r="199" spans="2:10" x14ac:dyDescent="0.55000000000000004">
      <c r="B199" s="49"/>
      <c r="C199" s="49"/>
      <c r="D199" s="49"/>
      <c r="E199" s="49"/>
      <c r="F199" s="49"/>
      <c r="G199" s="49"/>
      <c r="H199" s="49"/>
      <c r="I199" s="49"/>
      <c r="J199" s="49"/>
    </row>
    <row r="200" spans="2:10" x14ac:dyDescent="0.55000000000000004">
      <c r="B200" s="49"/>
      <c r="C200" s="49"/>
      <c r="D200" s="49"/>
      <c r="E200" s="49"/>
      <c r="F200" s="49"/>
      <c r="G200" s="49"/>
      <c r="H200" s="49"/>
      <c r="I200" s="49"/>
      <c r="J200" s="49"/>
    </row>
    <row r="201" spans="2:10" x14ac:dyDescent="0.55000000000000004">
      <c r="B201" s="49"/>
      <c r="C201" s="49"/>
      <c r="D201" s="49"/>
      <c r="E201" s="49"/>
      <c r="F201" s="49"/>
      <c r="G201" s="49"/>
      <c r="H201" s="49"/>
      <c r="I201" s="49"/>
      <c r="J201" s="49"/>
    </row>
    <row r="202" spans="2:10" x14ac:dyDescent="0.55000000000000004">
      <c r="B202" s="49"/>
      <c r="C202" s="49"/>
      <c r="D202" s="49"/>
      <c r="E202" s="49"/>
      <c r="F202" s="49"/>
      <c r="G202" s="49"/>
      <c r="H202" s="49"/>
      <c r="I202" s="49"/>
      <c r="J202" s="49"/>
    </row>
    <row r="203" spans="2:10" x14ac:dyDescent="0.55000000000000004">
      <c r="B203" s="49"/>
      <c r="C203" s="49"/>
      <c r="D203" s="49"/>
      <c r="E203" s="49"/>
      <c r="F203" s="49"/>
      <c r="G203" s="49"/>
      <c r="H203" s="49"/>
      <c r="I203" s="49"/>
      <c r="J203" s="49"/>
    </row>
    <row r="204" spans="2:10" x14ac:dyDescent="0.55000000000000004">
      <c r="B204" s="49"/>
      <c r="C204" s="49"/>
      <c r="D204" s="49"/>
      <c r="E204" s="49"/>
      <c r="F204" s="49"/>
      <c r="G204" s="49"/>
      <c r="H204" s="49"/>
      <c r="I204" s="49"/>
      <c r="J204" s="49"/>
    </row>
    <row r="205" spans="2:10" x14ac:dyDescent="0.55000000000000004">
      <c r="B205" s="49"/>
      <c r="C205" s="49"/>
      <c r="D205" s="49"/>
      <c r="E205" s="49"/>
      <c r="F205" s="49"/>
      <c r="G205" s="49"/>
      <c r="H205" s="49"/>
      <c r="I205" s="49"/>
      <c r="J205" s="49"/>
    </row>
    <row r="206" spans="2:10" x14ac:dyDescent="0.55000000000000004">
      <c r="B206" s="49"/>
      <c r="C206" s="49"/>
      <c r="D206" s="49"/>
      <c r="E206" s="49"/>
      <c r="F206" s="49"/>
      <c r="G206" s="49"/>
      <c r="H206" s="49"/>
      <c r="I206" s="49"/>
      <c r="J206" s="49"/>
    </row>
    <row r="207" spans="2:10" x14ac:dyDescent="0.55000000000000004">
      <c r="B207" s="49"/>
      <c r="C207" s="49"/>
      <c r="D207" s="49"/>
      <c r="E207" s="49"/>
      <c r="F207" s="49"/>
      <c r="G207" s="49"/>
      <c r="H207" s="49"/>
      <c r="I207" s="49"/>
      <c r="J207" s="49"/>
    </row>
    <row r="208" spans="2:10" x14ac:dyDescent="0.55000000000000004">
      <c r="B208" s="49"/>
      <c r="C208" s="49"/>
      <c r="D208" s="49"/>
      <c r="E208" s="49"/>
      <c r="F208" s="49"/>
      <c r="G208" s="49"/>
      <c r="H208" s="49"/>
      <c r="I208" s="49"/>
      <c r="J208" s="49"/>
    </row>
    <row r="209" spans="2:10" x14ac:dyDescent="0.55000000000000004">
      <c r="B209" s="49"/>
      <c r="C209" s="49"/>
      <c r="D209" s="49"/>
      <c r="E209" s="49"/>
      <c r="F209" s="49"/>
      <c r="G209" s="49"/>
      <c r="H209" s="49"/>
      <c r="I209" s="49"/>
      <c r="J209" s="49"/>
    </row>
    <row r="210" spans="2:10" x14ac:dyDescent="0.55000000000000004">
      <c r="B210" s="49"/>
      <c r="C210" s="49"/>
      <c r="D210" s="49"/>
      <c r="E210" s="49"/>
      <c r="F210" s="49"/>
      <c r="G210" s="49"/>
      <c r="H210" s="49"/>
      <c r="I210" s="49"/>
      <c r="J210" s="49"/>
    </row>
    <row r="211" spans="2:10" x14ac:dyDescent="0.55000000000000004">
      <c r="B211" s="49"/>
      <c r="C211" s="49"/>
      <c r="D211" s="49"/>
      <c r="E211" s="49"/>
      <c r="F211" s="49"/>
      <c r="G211" s="49"/>
      <c r="H211" s="49"/>
      <c r="I211" s="49"/>
      <c r="J211" s="49"/>
    </row>
    <row r="212" spans="2:10" x14ac:dyDescent="0.55000000000000004">
      <c r="B212" s="49"/>
      <c r="C212" s="49"/>
      <c r="D212" s="49"/>
      <c r="E212" s="49"/>
      <c r="F212" s="49"/>
      <c r="G212" s="49"/>
      <c r="H212" s="49"/>
      <c r="I212" s="49"/>
      <c r="J212" s="49"/>
    </row>
    <row r="213" spans="2:10" x14ac:dyDescent="0.55000000000000004">
      <c r="B213" s="49"/>
      <c r="C213" s="49"/>
      <c r="D213" s="49"/>
      <c r="E213" s="49"/>
      <c r="F213" s="49"/>
      <c r="G213" s="49"/>
      <c r="H213" s="49"/>
      <c r="I213" s="49"/>
      <c r="J213" s="49"/>
    </row>
    <row r="214" spans="2:10" x14ac:dyDescent="0.55000000000000004">
      <c r="B214" s="49"/>
      <c r="C214" s="49"/>
      <c r="D214" s="49"/>
      <c r="E214" s="49"/>
      <c r="F214" s="49"/>
      <c r="G214" s="49"/>
      <c r="H214" s="49"/>
      <c r="I214" s="49"/>
      <c r="J214" s="49"/>
    </row>
    <row r="215" spans="2:10" x14ac:dyDescent="0.55000000000000004">
      <c r="B215" s="49"/>
      <c r="C215" s="49"/>
      <c r="D215" s="49"/>
      <c r="E215" s="49"/>
      <c r="F215" s="49"/>
      <c r="G215" s="49"/>
      <c r="H215" s="49"/>
      <c r="I215" s="49"/>
      <c r="J215" s="49"/>
    </row>
    <row r="216" spans="2:10" x14ac:dyDescent="0.55000000000000004">
      <c r="B216" s="49"/>
      <c r="C216" s="49"/>
      <c r="D216" s="49"/>
      <c r="E216" s="49"/>
      <c r="F216" s="49"/>
      <c r="G216" s="49"/>
      <c r="H216" s="49"/>
      <c r="I216" s="49"/>
      <c r="J216" s="49"/>
    </row>
    <row r="217" spans="2:10" x14ac:dyDescent="0.55000000000000004">
      <c r="B217" s="49"/>
      <c r="C217" s="49"/>
      <c r="D217" s="49"/>
      <c r="E217" s="49"/>
      <c r="F217" s="49"/>
      <c r="G217" s="49"/>
      <c r="H217" s="49"/>
      <c r="I217" s="49"/>
      <c r="J217" s="49"/>
    </row>
    <row r="218" spans="2:10" x14ac:dyDescent="0.55000000000000004">
      <c r="B218" s="49"/>
      <c r="C218" s="49"/>
      <c r="D218" s="49"/>
      <c r="E218" s="49"/>
      <c r="F218" s="49"/>
      <c r="G218" s="49"/>
      <c r="H218" s="49"/>
      <c r="I218" s="49"/>
      <c r="J218" s="49"/>
    </row>
    <row r="219" spans="2:10" x14ac:dyDescent="0.55000000000000004">
      <c r="B219" s="49"/>
      <c r="C219" s="49"/>
      <c r="D219" s="49"/>
      <c r="E219" s="49"/>
      <c r="F219" s="49"/>
      <c r="G219" s="49"/>
      <c r="H219" s="49"/>
      <c r="I219" s="49"/>
      <c r="J219" s="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6AF03B-C81C-40F6-961A-858F928C47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Supplier (COA)</vt:lpstr>
      <vt:lpstr>Armax Engine Oil</vt:lpstr>
      <vt:lpstr>Aspire Aim Machinery</vt:lpstr>
      <vt:lpstr>Aung Myit Tar</vt:lpstr>
      <vt:lpstr>Delita International Limited</vt:lpstr>
      <vt:lpstr>GBS Co, LTD Tricycle</vt:lpstr>
      <vt:lpstr>GBS Co, LTD Engine</vt:lpstr>
      <vt:lpstr>GBS Spare</vt:lpstr>
      <vt:lpstr>Ko Win Hlaing</vt:lpstr>
      <vt:lpstr>Kyinn Loon Myanmar</vt:lpstr>
      <vt:lpstr>Ma Au Bin</vt:lpstr>
      <vt:lpstr>Mann Ayawadi</vt:lpstr>
      <vt:lpstr>MDL Tricycle Spare</vt:lpstr>
      <vt:lpstr>Moe Thauk Ayar</vt:lpstr>
      <vt:lpstr>Sein Wut Hmon Co, LTD</vt:lpstr>
      <vt:lpstr>Shwe Than Lwin</vt:lpstr>
      <vt:lpstr>Shwe Yar Su</vt:lpstr>
      <vt:lpstr>Super</vt:lpstr>
      <vt:lpstr>Tat Shwe La Win </vt:lpstr>
      <vt:lpstr>UMG Co,LTD</vt:lpstr>
      <vt:lpstr>Zan (or) Mg Mg Soe</vt:lpstr>
      <vt:lpstr>Total Balance</vt:lpstr>
      <vt:lpstr>Pivot Table</vt:lpstr>
      <vt:lpstr>Data Combine</vt:lpstr>
      <vt:lpstr>'Total Balance'!Print_Area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2021-03-13T22:35:13Z</cp:lastPrinted>
  <dcterms:created xsi:type="dcterms:W3CDTF">2021-03-05T16:53:14Z</dcterms:created>
  <dcterms:modified xsi:type="dcterms:W3CDTF">2021-10-03T02:08:03Z</dcterms:modified>
</cp:coreProperties>
</file>