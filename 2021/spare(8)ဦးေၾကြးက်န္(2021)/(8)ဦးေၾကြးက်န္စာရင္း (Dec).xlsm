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3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  <definedName name="_xlnm.Print_Area" localSheetId="3">'Total Balance'!$A$1:$F$11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6" i="48" l="1"/>
  <c r="F77" i="48"/>
  <c r="F78" i="48"/>
  <c r="E76" i="48"/>
  <c r="E77" i="48"/>
  <c r="E90" i="48"/>
  <c r="E91" i="48"/>
  <c r="E92" i="48"/>
  <c r="E93" i="48"/>
  <c r="F88" i="48"/>
  <c r="F89" i="48"/>
  <c r="F90" i="48"/>
  <c r="F91" i="48"/>
  <c r="F92" i="48"/>
  <c r="F93" i="48"/>
  <c r="E82" i="48"/>
  <c r="E83" i="48"/>
  <c r="E84" i="48"/>
  <c r="E85" i="48"/>
  <c r="E86" i="48"/>
  <c r="E87" i="48"/>
  <c r="E88" i="48"/>
  <c r="E89" i="48"/>
  <c r="F81" i="48"/>
  <c r="F82" i="48"/>
  <c r="F83" i="48"/>
  <c r="F84" i="48"/>
  <c r="F85" i="48"/>
  <c r="F86" i="48"/>
  <c r="F87" i="48"/>
  <c r="F75" i="48"/>
  <c r="E75" i="48"/>
  <c r="F66" i="48" l="1"/>
  <c r="E66" i="48"/>
  <c r="F59" i="48" l="1"/>
  <c r="F60" i="48"/>
  <c r="F61" i="48"/>
  <c r="F62" i="48"/>
  <c r="F63" i="48"/>
  <c r="E59" i="48"/>
  <c r="E60" i="48"/>
  <c r="E61" i="48"/>
  <c r="E62" i="48"/>
  <c r="E63" i="48"/>
  <c r="D5" i="46" l="1"/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64" i="48"/>
  <c r="F65" i="48"/>
  <c r="F67" i="48"/>
  <c r="F68" i="48"/>
  <c r="F69" i="48"/>
  <c r="F70" i="48"/>
  <c r="F71" i="48"/>
  <c r="F72" i="48"/>
  <c r="F73" i="48"/>
  <c r="F74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64" i="48"/>
  <c r="E65" i="48"/>
  <c r="E67" i="48"/>
  <c r="E68" i="48"/>
  <c r="E69" i="48"/>
  <c r="E70" i="48"/>
  <c r="E71" i="48"/>
  <c r="E72" i="48"/>
  <c r="E73" i="48"/>
  <c r="E74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<sst xmlns="http://schemas.openxmlformats.org/spreadsheetml/2006/main" count="245" uniqueCount="66">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</sst>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2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11" borderId="0" xfId="0" applyFont="1" applyFill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11" fillId="6" borderId="0" xfId="0" applyFont="1" applyFill="1"/>
    <xf numFmtId="0" fontId="11" fillId="4" borderId="0" xfId="0" applyFont="1" applyFill="1"/>
    <xf numFmtId="0" fontId="11" fillId="4" borderId="0" xfId="0" applyFont="1" applyFill="1" applyAlignment="1">
      <alignment horizontal="right"/>
    </xf>
    <xf numFmtId="0" fontId="11" fillId="4" borderId="0" xfId="0" applyFont="1" applyFill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64" fontId="4" fillId="3" borderId="11" xfId="1" applyNumberFormat="1" applyFont="1" applyFill="1" applyBorder="1" applyAlignment="1">
      <alignment horizontal="center" vertical="center" wrapText="1"/>
    </xf>
    <xf numFmtId="164" fontId="4" fillId="3" borderId="11" xfId="1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4" fillId="3" borderId="10" xfId="0" applyNumberFormat="1" applyFont="1" applyFill="1" applyBorder="1" applyAlignment="1">
      <alignment horizontal="center" vertical="center" wrapText="1"/>
    </xf>
    <xf numFmtId="165" fontId="4" fillId="3" borderId="10" xfId="0" applyNumberFormat="1" applyFont="1" applyFill="1" applyBorder="1" applyAlignment="1">
      <alignment horizontal="center" vertical="center" wrapText="1"/>
    </xf>
    <xf numFmtId="169" fontId="1" fillId="2" borderId="1" xfId="0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right"/>
    </xf>
    <xf numFmtId="0" fontId="11" fillId="8" borderId="0" xfId="0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504826</xdr:colOff>
          <xdr:row>13</xdr:row>
          <xdr:rowOff>171449</xdr:rowOff>
        </xdr:from>
        <xdr:to>
          <xdr:col>9</xdr:col>
          <xdr:colOff>36965</xdr:colOff>
          <xdr:row>72</xdr:row>
          <xdr:rowOff>76197</xdr:rowOff>
        </xdr:to>
        <xdr:pic>
          <xdr:nvPicPr>
            <xdr:cNvPr id="18" name="Picture 17"/>
            <xdr:cNvPicPr>
              <a:picLocks noChangeAspect="1" noChangeArrowheads="1"/>
              <a:extLst>
                <a:ext uri="{84589F7E-364E-4C9E-8A38-B11213B215E9}">
                  <a14:cameraTool cellRange="' Data Save '!$A$1:$L$73" spid="_x0000_s144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4826" y="3438524"/>
              <a:ext cx="7447414" cy="16202023"/>
            </a:xfrm>
            <a:prstGeom prst="rect">
              <a:avLst/>
            </a:prstGeom>
            <a:solidFill>
              <a:srgbClr val="000000">
                <a:shade val="95000"/>
              </a:srgbClr>
            </a:solidFill>
            <a:ln w="444500" cap="sq">
              <a:solidFill>
                <a:srgbClr val="000000"/>
              </a:solidFill>
              <a:miter lim="800000"/>
            </a:ln>
            <a:effectLst>
              <a:outerShdw blurRad="254000" dist="190500" dir="2700000" sy="90000" algn="bl" rotWithShape="0">
                <a:srgbClr val="000000">
                  <a:alpha val="40000"/>
                </a:srgbClr>
              </a:outerShdw>
            </a:effectLst>
            <a:extLst/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0" t="s">
        <v>51</v>
      </c>
      <c r="B1" s="80" t="s">
        <v>50</v>
      </c>
      <c r="C1" s="80" t="s">
        <v>52</v>
      </c>
    </row>
    <row r="2" spans="1:7">
      <c r="A2" s="81" t="s">
        <v>25</v>
      </c>
      <c r="B2" s="81" t="s">
        <v>34</v>
      </c>
      <c r="C2" s="81" t="s">
        <v>20</v>
      </c>
      <c r="G2" s="3" t="s">
        <v>26</v>
      </c>
    </row>
    <row r="3" spans="1:7">
      <c r="A3" s="81" t="s">
        <v>27</v>
      </c>
      <c r="B3" s="81" t="s">
        <v>35</v>
      </c>
      <c r="C3" s="81" t="s">
        <v>20</v>
      </c>
      <c r="G3" s="3" t="s">
        <v>54</v>
      </c>
    </row>
    <row r="4" spans="1:7">
      <c r="A4" s="81" t="s">
        <v>28</v>
      </c>
      <c r="B4" s="81" t="s">
        <v>36</v>
      </c>
      <c r="C4" s="81" t="s">
        <v>20</v>
      </c>
      <c r="G4" s="3" t="s">
        <v>55</v>
      </c>
    </row>
    <row r="5" spans="1:7">
      <c r="A5" s="81" t="s">
        <v>29</v>
      </c>
      <c r="B5" s="81" t="s">
        <v>37</v>
      </c>
      <c r="C5" s="81" t="s">
        <v>20</v>
      </c>
      <c r="G5" s="3" t="s">
        <v>56</v>
      </c>
    </row>
    <row r="6" spans="1:7">
      <c r="A6" s="81" t="s">
        <v>30</v>
      </c>
      <c r="B6" s="81" t="s">
        <v>38</v>
      </c>
      <c r="C6" s="81" t="s">
        <v>20</v>
      </c>
      <c r="G6" s="3" t="s">
        <v>57</v>
      </c>
    </row>
    <row r="7" spans="1:7">
      <c r="A7" s="81" t="s">
        <v>31</v>
      </c>
      <c r="B7" s="81" t="s">
        <v>39</v>
      </c>
      <c r="C7" s="81" t="s">
        <v>40</v>
      </c>
    </row>
    <row r="8" spans="1:7">
      <c r="A8" s="81" t="s">
        <v>32</v>
      </c>
      <c r="B8" s="81" t="s">
        <v>41</v>
      </c>
      <c r="C8" s="81" t="s">
        <v>42</v>
      </c>
    </row>
    <row r="9" spans="1:7">
      <c r="A9" s="81" t="s">
        <v>33</v>
      </c>
      <c r="B9" s="81" t="s">
        <v>43</v>
      </c>
      <c r="C9" s="81" t="s">
        <v>21</v>
      </c>
    </row>
    <row r="10" spans="1:7">
      <c r="A10" s="81" t="s">
        <v>60</v>
      </c>
      <c r="B10" s="81" t="s">
        <v>61</v>
      </c>
      <c r="C10" s="8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workbookViewId="0">
      <selection activeCell="G10" sqref="G10"/>
    </sheetView>
  </sheetViews>
  <sheetFormatPr defaultColWidth="8.7109375" defaultRowHeight="21.75"/>
  <cols>
    <col min="1" max="1" width="8.7109375" style="68"/>
    <col min="2" max="2" width="8.7109375" style="39"/>
    <col min="3" max="3" width="21.85546875" style="40" customWidth="1"/>
    <col min="4" max="4" width="25.42578125" style="41" customWidth="1"/>
    <col min="5" max="8" width="8.7109375" style="68"/>
    <col min="9" max="9" width="19.140625" style="68" bestFit="1" customWidth="1"/>
    <col min="10" max="10" width="15.28515625" style="68" bestFit="1" customWidth="1"/>
    <col min="11" max="11" width="17.85546875" style="68" customWidth="1"/>
    <col min="12" max="25" width="8.7109375" style="68"/>
    <col min="26" max="16384" width="8.7109375" style="39"/>
  </cols>
  <sheetData>
    <row r="1" spans="1:17" ht="33.75" thickBot="1">
      <c r="A1" s="70"/>
      <c r="B1" s="70"/>
      <c r="C1" s="71" t="s">
        <v>19</v>
      </c>
      <c r="D1" s="53">
        <v>78</v>
      </c>
      <c r="E1" s="70"/>
      <c r="F1" s="125" t="s">
        <v>23</v>
      </c>
      <c r="G1" s="126"/>
      <c r="H1" s="126"/>
      <c r="I1" s="126"/>
      <c r="J1" s="126"/>
      <c r="K1" s="127"/>
      <c r="L1" s="70"/>
      <c r="M1" s="70"/>
      <c r="N1" s="70"/>
      <c r="O1" s="70"/>
      <c r="P1" s="70"/>
      <c r="Q1" s="70"/>
    </row>
    <row r="2" spans="1:17" ht="22.5">
      <c r="A2" s="70"/>
      <c r="B2" s="70"/>
      <c r="C2" s="71" t="s">
        <v>24</v>
      </c>
      <c r="D2" s="53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22.5" hidden="1">
      <c r="A3" s="70"/>
      <c r="B3" s="70"/>
      <c r="C3" s="71"/>
      <c r="D3" s="49">
        <v>44260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1:17" ht="22.5">
      <c r="A4" s="79" t="b">
        <f>Dashboard!D1=IF(B4="","",ROW(1:1))</f>
        <v>0</v>
      </c>
      <c r="B4" s="70"/>
      <c r="C4" s="71" t="s">
        <v>8</v>
      </c>
      <c r="D4" s="4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22.5">
      <c r="A5" s="70"/>
      <c r="B5" s="70"/>
      <c r="C5" s="72" t="s">
        <v>9</v>
      </c>
      <c r="D5" s="37" t="str">
        <f>IFERROR(VLOOKUP(D2,COA!A:C,2,0),"-")</f>
        <v>-</v>
      </c>
      <c r="E5" s="70"/>
      <c r="F5" s="70"/>
      <c r="G5" s="70"/>
      <c r="H5" s="70"/>
      <c r="I5" s="83" t="s">
        <v>53</v>
      </c>
      <c r="J5" s="82">
        <f>SUM(' Data Save '!J2:J100)</f>
        <v>151200</v>
      </c>
      <c r="K5" s="70"/>
      <c r="L5" s="70"/>
      <c r="M5" s="70"/>
      <c r="N5" s="70"/>
      <c r="O5" s="70"/>
      <c r="P5" s="70"/>
      <c r="Q5" s="70"/>
    </row>
    <row r="6" spans="1:17" ht="22.5">
      <c r="A6" s="70"/>
      <c r="B6" s="70"/>
      <c r="C6" s="72" t="s">
        <v>10</v>
      </c>
      <c r="D6" s="37" t="str">
        <f>IFERROR(VLOOKUP(D2,COA!A:C,3,0),"-")</f>
        <v>-</v>
      </c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ht="22.5">
      <c r="A7" s="70"/>
      <c r="B7" s="70"/>
      <c r="C7" s="73" t="s">
        <v>13</v>
      </c>
      <c r="D7" s="37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ht="21.95" customHeight="1">
      <c r="A8" s="70"/>
      <c r="B8" s="70"/>
      <c r="C8" s="74" t="s">
        <v>14</v>
      </c>
      <c r="D8" s="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ht="22.5">
      <c r="A9" s="70"/>
      <c r="B9" s="70"/>
      <c r="C9" s="74" t="s">
        <v>15</v>
      </c>
      <c r="D9" s="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ht="22.5">
      <c r="A10" s="70"/>
      <c r="B10" s="70"/>
      <c r="C10" s="74" t="s">
        <v>17</v>
      </c>
      <c r="D10" s="9">
        <f>D8-D9</f>
        <v>0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ht="22.5" hidden="1">
      <c r="A11" s="70"/>
      <c r="B11" s="70"/>
      <c r="C11" s="74"/>
      <c r="D11" s="49">
        <v>44286</v>
      </c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ht="22.5">
      <c r="A12" s="70"/>
      <c r="B12" s="70"/>
      <c r="C12" s="75" t="s">
        <v>22</v>
      </c>
      <c r="D12" s="4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s="69" customFormat="1">
      <c r="A13" s="70"/>
      <c r="B13" s="70"/>
      <c r="C13" s="76"/>
      <c r="D13" s="7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s="69" customFormat="1">
      <c r="A14" s="70"/>
      <c r="B14" s="70"/>
      <c r="C14" s="76"/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s="69" customFormat="1">
      <c r="A15" s="70"/>
      <c r="B15" s="70"/>
      <c r="C15" s="76"/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s="69" customFormat="1">
      <c r="A16" s="70"/>
      <c r="B16" s="70"/>
      <c r="C16" s="76"/>
      <c r="D16" s="77"/>
      <c r="E16" s="70"/>
      <c r="F16" s="70"/>
      <c r="G16" s="70"/>
      <c r="H16" s="70"/>
      <c r="I16" s="70"/>
      <c r="J16" s="77"/>
      <c r="K16" s="70"/>
      <c r="L16" s="70"/>
      <c r="M16" s="70"/>
      <c r="N16" s="70"/>
      <c r="O16" s="70"/>
      <c r="P16" s="70"/>
      <c r="Q16" s="70"/>
    </row>
    <row r="17" spans="1:17" s="69" customFormat="1">
      <c r="A17" s="70"/>
      <c r="B17" s="70"/>
      <c r="C17" s="76"/>
      <c r="D17" s="77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s="69" customFormat="1">
      <c r="A18" s="70"/>
      <c r="B18" s="70"/>
      <c r="C18" s="76"/>
      <c r="D18" s="77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s="69" customFormat="1">
      <c r="A19" s="70"/>
      <c r="B19" s="70"/>
      <c r="C19" s="76"/>
      <c r="D19" s="77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>
      <c r="A20" s="70"/>
      <c r="B20" s="70"/>
      <c r="C20" s="76"/>
      <c r="D20" s="77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>
      <c r="A21" s="70"/>
      <c r="B21" s="70"/>
      <c r="C21" s="76"/>
      <c r="D21" s="77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>
      <c r="A22" s="70"/>
      <c r="B22" s="70"/>
      <c r="C22" s="76"/>
      <c r="D22" s="77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>
      <c r="A23" s="70"/>
      <c r="B23" s="70"/>
      <c r="C23" s="76"/>
      <c r="D23" s="77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1:17">
      <c r="A24" s="70"/>
      <c r="B24" s="70"/>
      <c r="C24" s="76"/>
      <c r="D24" s="77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>
      <c r="A25" s="70"/>
      <c r="B25" s="70"/>
      <c r="C25" s="76"/>
      <c r="D25" s="77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>
      <c r="A26" s="70"/>
      <c r="B26" s="70"/>
      <c r="C26" s="76"/>
      <c r="D26" s="77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>
      <c r="A27" s="70"/>
      <c r="B27" s="70"/>
      <c r="C27" s="76"/>
      <c r="D27" s="77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>
      <c r="A28" s="70"/>
      <c r="B28" s="70"/>
      <c r="C28" s="76"/>
      <c r="D28" s="77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s="70" customFormat="1">
      <c r="C29" s="76"/>
      <c r="D29" s="77"/>
    </row>
    <row r="30" spans="1:17" s="79" customFormat="1">
      <c r="C30" s="123"/>
      <c r="D30" s="124"/>
    </row>
    <row r="31" spans="1:17" s="79" customFormat="1">
      <c r="C31" s="123"/>
      <c r="D31" s="124"/>
    </row>
    <row r="32" spans="1:17" s="79" customFormat="1">
      <c r="C32" s="123"/>
      <c r="D32" s="124"/>
    </row>
    <row r="33" spans="3:4" s="79" customFormat="1">
      <c r="C33" s="123"/>
      <c r="D33" s="124"/>
    </row>
    <row r="34" spans="3:4" s="79" customFormat="1">
      <c r="C34" s="123"/>
      <c r="D34" s="124"/>
    </row>
    <row r="35" spans="3:4" s="79" customFormat="1">
      <c r="C35" s="123"/>
      <c r="D35" s="124"/>
    </row>
    <row r="36" spans="3:4" s="79" customFormat="1">
      <c r="C36" s="123"/>
      <c r="D36" s="124"/>
    </row>
    <row r="37" spans="3:4" s="79" customFormat="1">
      <c r="C37" s="123"/>
      <c r="D37" s="124"/>
    </row>
    <row r="38" spans="3:4" s="79" customFormat="1">
      <c r="C38" s="123"/>
      <c r="D38" s="124"/>
    </row>
    <row r="39" spans="3:4" s="79" customFormat="1">
      <c r="C39" s="123"/>
      <c r="D39" s="124"/>
    </row>
    <row r="40" spans="3:4" s="79" customFormat="1">
      <c r="C40" s="123"/>
      <c r="D40" s="124"/>
    </row>
    <row r="41" spans="3:4" s="79" customFormat="1">
      <c r="C41" s="123"/>
      <c r="D41" s="124"/>
    </row>
    <row r="42" spans="3:4" s="79" customFormat="1">
      <c r="C42" s="123"/>
      <c r="D42" s="124"/>
    </row>
    <row r="43" spans="3:4" s="79" customFormat="1">
      <c r="C43" s="123"/>
      <c r="D43" s="124"/>
    </row>
    <row r="44" spans="3:4" s="79" customFormat="1">
      <c r="C44" s="123"/>
      <c r="D44" s="124"/>
    </row>
    <row r="45" spans="3:4" s="79" customFormat="1">
      <c r="C45" s="123"/>
      <c r="D45" s="124"/>
    </row>
    <row r="46" spans="3:4" s="79" customFormat="1">
      <c r="C46" s="123"/>
      <c r="D46" s="124"/>
    </row>
    <row r="47" spans="3:4" s="79" customFormat="1">
      <c r="C47" s="123"/>
      <c r="D47" s="124"/>
    </row>
    <row r="48" spans="3:4" s="79" customFormat="1">
      <c r="C48" s="123"/>
      <c r="D48" s="124"/>
    </row>
    <row r="49" spans="3:4" s="79" customFormat="1">
      <c r="C49" s="123"/>
      <c r="D49" s="124"/>
    </row>
    <row r="50" spans="3:4" s="79" customFormat="1">
      <c r="C50" s="123"/>
      <c r="D50" s="124"/>
    </row>
    <row r="51" spans="3:4" s="79" customFormat="1">
      <c r="C51" s="123"/>
      <c r="D51" s="124"/>
    </row>
    <row r="52" spans="3:4" s="79" customFormat="1">
      <c r="C52" s="123"/>
      <c r="D52" s="124"/>
    </row>
    <row r="53" spans="3:4" s="79" customFormat="1">
      <c r="C53" s="123"/>
      <c r="D53" s="124"/>
    </row>
    <row r="54" spans="3:4" s="79" customFormat="1">
      <c r="C54" s="123"/>
      <c r="D54" s="124"/>
    </row>
    <row r="55" spans="3:4" s="79" customFormat="1">
      <c r="C55" s="123"/>
      <c r="D55" s="124"/>
    </row>
    <row r="56" spans="3:4" s="79" customFormat="1">
      <c r="C56" s="123"/>
      <c r="D56" s="124"/>
    </row>
    <row r="57" spans="3:4" s="79" customFormat="1">
      <c r="C57" s="123"/>
      <c r="D57" s="124"/>
    </row>
    <row r="58" spans="3:4" s="79" customFormat="1">
      <c r="C58" s="123"/>
      <c r="D58" s="124"/>
    </row>
    <row r="59" spans="3:4" s="79" customFormat="1">
      <c r="C59" s="123"/>
      <c r="D59" s="124"/>
    </row>
    <row r="60" spans="3:4" s="79" customFormat="1">
      <c r="C60" s="123"/>
      <c r="D60" s="124"/>
    </row>
    <row r="61" spans="3:4" s="79" customFormat="1">
      <c r="C61" s="123"/>
      <c r="D61" s="124"/>
    </row>
    <row r="62" spans="3:4" s="79" customFormat="1">
      <c r="C62" s="123"/>
      <c r="D62" s="124"/>
    </row>
    <row r="63" spans="3:4" s="79" customFormat="1">
      <c r="C63" s="123"/>
      <c r="D63" s="124"/>
    </row>
    <row r="64" spans="3:4" s="79" customFormat="1">
      <c r="C64" s="123"/>
      <c r="D64" s="124"/>
    </row>
    <row r="65" spans="1:25" s="79" customFormat="1">
      <c r="C65" s="123"/>
      <c r="D65" s="124"/>
    </row>
    <row r="66" spans="1:25" s="79" customFormat="1">
      <c r="C66" s="123"/>
      <c r="D66" s="124"/>
    </row>
    <row r="67" spans="1:25" s="79" customFormat="1">
      <c r="C67" s="123"/>
      <c r="D67" s="124"/>
    </row>
    <row r="68" spans="1:25" s="79" customFormat="1">
      <c r="C68" s="123"/>
      <c r="D68" s="124"/>
    </row>
    <row r="69" spans="1:25" s="79" customFormat="1">
      <c r="C69" s="123"/>
      <c r="D69" s="124"/>
    </row>
    <row r="70" spans="1:25" s="79" customFormat="1">
      <c r="C70" s="123"/>
      <c r="D70" s="124"/>
    </row>
    <row r="71" spans="1:25" s="79" customFormat="1">
      <c r="C71" s="123"/>
      <c r="D71" s="124"/>
    </row>
    <row r="72" spans="1:25" s="79" customFormat="1">
      <c r="C72" s="123"/>
      <c r="D72" s="124"/>
    </row>
    <row r="73" spans="1:25" s="79" customFormat="1">
      <c r="C73" s="123"/>
      <c r="D73" s="124"/>
    </row>
    <row r="74" spans="1:25" s="79" customFormat="1">
      <c r="C74" s="123"/>
      <c r="D74" s="124"/>
    </row>
    <row r="75" spans="1:25" s="79" customFormat="1">
      <c r="C75" s="123"/>
      <c r="D75" s="124"/>
    </row>
    <row r="76" spans="1:25" s="79" customFormat="1">
      <c r="C76" s="123"/>
      <c r="D76" s="124"/>
    </row>
    <row r="77" spans="1:25" s="79" customFormat="1">
      <c r="C77" s="123"/>
      <c r="D77" s="124"/>
    </row>
    <row r="78" spans="1:25" s="79" customFormat="1">
      <c r="C78" s="123"/>
      <c r="D78" s="124"/>
    </row>
    <row r="79" spans="1:25" s="79" customFormat="1">
      <c r="C79" s="123"/>
      <c r="D79" s="124"/>
    </row>
    <row r="80" spans="1:25" s="107" customFormat="1">
      <c r="A80" s="106"/>
      <c r="C80" s="108"/>
      <c r="D80" s="109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</row>
    <row r="81" spans="1:25" s="107" customFormat="1">
      <c r="A81" s="106"/>
      <c r="C81" s="108"/>
      <c r="D81" s="109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25" s="107" customFormat="1">
      <c r="A82" s="106"/>
      <c r="C82" s="108"/>
      <c r="D82" s="109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</row>
    <row r="83" spans="1:25" s="107" customFormat="1">
      <c r="A83" s="106"/>
      <c r="C83" s="108"/>
      <c r="D83" s="109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25" s="107" customFormat="1">
      <c r="A84" s="106"/>
      <c r="C84" s="108"/>
      <c r="D84" s="109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</row>
    <row r="85" spans="1:25" s="107" customFormat="1">
      <c r="A85" s="106"/>
      <c r="C85" s="108"/>
      <c r="D85" s="109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</row>
    <row r="86" spans="1:25" s="107" customFormat="1">
      <c r="A86" s="106"/>
      <c r="C86" s="108"/>
      <c r="D86" s="109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</row>
    <row r="87" spans="1:25" s="107" customFormat="1">
      <c r="A87" s="106"/>
      <c r="C87" s="108"/>
      <c r="D87" s="109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</row>
    <row r="88" spans="1:25" s="107" customFormat="1">
      <c r="A88" s="106"/>
      <c r="C88" s="108"/>
      <c r="D88" s="109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1:25" s="107" customFormat="1">
      <c r="A89" s="106"/>
      <c r="C89" s="108"/>
      <c r="D89" s="109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</row>
    <row r="90" spans="1:25" s="107" customFormat="1">
      <c r="A90" s="106"/>
      <c r="C90" s="108"/>
      <c r="D90" s="109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</row>
    <row r="91" spans="1:25" s="107" customFormat="1">
      <c r="A91" s="106"/>
      <c r="C91" s="108"/>
      <c r="D91" s="109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</row>
    <row r="92" spans="1:25" s="107" customFormat="1">
      <c r="A92" s="106"/>
      <c r="C92" s="108"/>
      <c r="D92" s="109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</row>
    <row r="93" spans="1:25" s="107" customFormat="1">
      <c r="A93" s="106"/>
      <c r="C93" s="108"/>
      <c r="D93" s="109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</row>
    <row r="94" spans="1:25" s="107" customFormat="1">
      <c r="A94" s="106"/>
      <c r="C94" s="108"/>
      <c r="D94" s="109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</row>
    <row r="95" spans="1:25" s="107" customFormat="1">
      <c r="A95" s="106"/>
      <c r="C95" s="108"/>
      <c r="D95" s="109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25" s="107" customFormat="1">
      <c r="A96" s="106"/>
      <c r="C96" s="108"/>
      <c r="D96" s="109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</row>
    <row r="97" spans="1:25" s="107" customFormat="1">
      <c r="A97" s="106"/>
      <c r="C97" s="108"/>
      <c r="D97" s="109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s="107" customFormat="1">
      <c r="A98" s="106"/>
      <c r="C98" s="108"/>
      <c r="D98" s="109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</row>
    <row r="99" spans="1:25" s="107" customFormat="1">
      <c r="A99" s="106"/>
      <c r="C99" s="108"/>
      <c r="D99" s="109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25" s="107" customFormat="1">
      <c r="A100" s="106"/>
      <c r="C100" s="108"/>
      <c r="D100" s="109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</row>
    <row r="101" spans="1:25" s="107" customFormat="1">
      <c r="A101" s="106"/>
      <c r="C101" s="108"/>
      <c r="D101" s="109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25" s="107" customFormat="1">
      <c r="A102" s="106"/>
      <c r="C102" s="108"/>
      <c r="D102" s="109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</row>
    <row r="103" spans="1:25" s="107" customFormat="1">
      <c r="A103" s="106"/>
      <c r="C103" s="108"/>
      <c r="D103" s="109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25" s="107" customFormat="1">
      <c r="A104" s="106"/>
      <c r="C104" s="108"/>
      <c r="D104" s="109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</row>
    <row r="105" spans="1:25" s="107" customFormat="1">
      <c r="A105" s="106"/>
      <c r="C105" s="108"/>
      <c r="D105" s="109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1:25" s="107" customFormat="1">
      <c r="A106" s="106"/>
      <c r="C106" s="108"/>
      <c r="D106" s="109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</row>
    <row r="107" spans="1:25" s="107" customFormat="1">
      <c r="A107" s="106"/>
      <c r="C107" s="108"/>
      <c r="D107" s="109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1:25" s="107" customFormat="1">
      <c r="A108" s="106"/>
      <c r="C108" s="108"/>
      <c r="D108" s="109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</row>
    <row r="109" spans="1:25" s="107" customFormat="1">
      <c r="A109" s="106"/>
      <c r="C109" s="108"/>
      <c r="D109" s="109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</row>
    <row r="110" spans="1:25" s="107" customFormat="1">
      <c r="A110" s="106"/>
      <c r="C110" s="108"/>
      <c r="D110" s="109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</row>
    <row r="111" spans="1:25" s="107" customFormat="1">
      <c r="A111" s="106"/>
      <c r="C111" s="108"/>
      <c r="D111" s="109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</row>
    <row r="112" spans="1:25" s="107" customFormat="1">
      <c r="A112" s="106"/>
      <c r="C112" s="108"/>
      <c r="D112" s="109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</row>
    <row r="113" spans="1:25" s="107" customFormat="1">
      <c r="A113" s="106"/>
      <c r="C113" s="108"/>
      <c r="D113" s="109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</row>
    <row r="114" spans="1:25" s="107" customFormat="1">
      <c r="A114" s="106"/>
      <c r="C114" s="108"/>
      <c r="D114" s="109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</row>
    <row r="115" spans="1:25" s="107" customFormat="1">
      <c r="A115" s="106"/>
      <c r="C115" s="108"/>
      <c r="D115" s="109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25" s="107" customFormat="1">
      <c r="A116" s="106"/>
      <c r="C116" s="108"/>
      <c r="D116" s="109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</row>
    <row r="117" spans="1:25" s="107" customFormat="1">
      <c r="A117" s="106"/>
      <c r="C117" s="108"/>
      <c r="D117" s="109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25" s="107" customFormat="1">
      <c r="A118" s="106"/>
      <c r="C118" s="108"/>
      <c r="D118" s="109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</row>
    <row r="119" spans="1:25" s="107" customFormat="1">
      <c r="A119" s="106"/>
      <c r="C119" s="108"/>
      <c r="D119" s="109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25" s="107" customFormat="1">
      <c r="A120" s="106"/>
      <c r="C120" s="108"/>
      <c r="D120" s="109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</row>
  </sheetData>
  <mergeCells count="1">
    <mergeCell ref="F1:K1"/>
  </mergeCells>
  <conditionalFormatting sqref="F1:K1">
    <cfRule type="expression" dxfId="0" priority="1">
      <formula>COUNTA(D12)=1</formula>
    </cfRule>
  </conditionalFormatting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93"/>
  <sheetViews>
    <sheetView topLeftCell="A3" zoomScale="104" zoomScaleNormal="104" workbookViewId="0">
      <selection activeCell="A78" sqref="A78"/>
    </sheetView>
  </sheetViews>
  <sheetFormatPr defaultColWidth="9.42578125" defaultRowHeight="27.95" customHeight="1"/>
  <cols>
    <col min="1" max="1" width="19.42578125" style="67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120" t="s">
        <v>19</v>
      </c>
      <c r="B1" s="121" t="s">
        <v>24</v>
      </c>
      <c r="C1" s="63"/>
      <c r="D1" s="112" t="s">
        <v>8</v>
      </c>
      <c r="E1" s="113" t="s">
        <v>9</v>
      </c>
      <c r="F1" s="113" t="s">
        <v>10</v>
      </c>
      <c r="G1" s="114" t="s">
        <v>13</v>
      </c>
      <c r="H1" s="115" t="s">
        <v>14</v>
      </c>
      <c r="I1" s="115" t="s">
        <v>15</v>
      </c>
      <c r="J1" s="116" t="s">
        <v>17</v>
      </c>
      <c r="K1" s="115"/>
      <c r="L1" s="116" t="s">
        <v>22</v>
      </c>
    </row>
    <row r="2" spans="1:15" ht="27.95" customHeight="1">
      <c r="A2" s="53">
        <v>1</v>
      </c>
      <c r="B2" s="53" t="s">
        <v>25</v>
      </c>
      <c r="C2" s="110"/>
      <c r="D2" s="117">
        <v>44307</v>
      </c>
      <c r="E2" s="118" t="str">
        <f>IFERROR(VLOOKUP(B2,COA!A:C,2,0),"-")</f>
        <v xml:space="preserve">ကိုခ်စ္ေက်ာ္သူ </v>
      </c>
      <c r="F2" s="118" t="str">
        <f>IFERROR(VLOOKUP($B2,COA!$A:$C,3,0),"-")</f>
        <v>ဝါးေသာက္</v>
      </c>
      <c r="G2" s="118" t="s">
        <v>26</v>
      </c>
      <c r="H2" s="119">
        <v>142500</v>
      </c>
      <c r="I2" s="119"/>
      <c r="J2" s="119">
        <v>142500</v>
      </c>
      <c r="K2" s="117"/>
      <c r="L2" s="117">
        <v>44316</v>
      </c>
      <c r="M2" s="60"/>
      <c r="N2" s="60"/>
      <c r="O2" s="60"/>
    </row>
    <row r="3" spans="1:15" ht="27.95" customHeight="1">
      <c r="A3" s="53">
        <v>2</v>
      </c>
      <c r="B3" s="53" t="s">
        <v>27</v>
      </c>
      <c r="C3" s="110"/>
      <c r="D3" s="117">
        <v>44308</v>
      </c>
      <c r="E3" s="118" t="str">
        <f>IFERROR(VLOOKUP(B3,COA!A:C,2,0),"-")</f>
        <v xml:space="preserve">ကိုမ်ိဳးသူ </v>
      </c>
      <c r="F3" s="118" t="str">
        <f>IFERROR(VLOOKUP($B3,COA!$A:$C,3,0),"-")</f>
        <v>ဝါးေသာက္</v>
      </c>
      <c r="G3" s="118" t="s">
        <v>26</v>
      </c>
      <c r="H3" s="119">
        <v>141100</v>
      </c>
      <c r="I3" s="119">
        <v>0</v>
      </c>
      <c r="J3" s="119">
        <v>141100</v>
      </c>
      <c r="K3" s="117"/>
      <c r="L3" s="117">
        <v>44316</v>
      </c>
      <c r="M3" s="60"/>
      <c r="N3" s="60"/>
      <c r="O3" s="60"/>
    </row>
    <row r="4" spans="1:15" ht="27.95" customHeight="1">
      <c r="A4" s="53">
        <v>3</v>
      </c>
      <c r="B4" s="53" t="s">
        <v>28</v>
      </c>
      <c r="C4" s="110"/>
      <c r="D4" s="117">
        <v>44308</v>
      </c>
      <c r="E4" s="118" t="str">
        <f>IFERROR(VLOOKUP(B4,COA!A:C,2,0),"-")</f>
        <v>ကိုကိုင္ဇာေဌး</v>
      </c>
      <c r="F4" s="118" t="str">
        <f>IFERROR(VLOOKUP($B4,COA!$A:$C,3,0),"-")</f>
        <v>ဝါးေသာက္</v>
      </c>
      <c r="G4" s="118" t="s">
        <v>26</v>
      </c>
      <c r="H4" s="119">
        <v>41700</v>
      </c>
      <c r="I4" s="119">
        <v>0</v>
      </c>
      <c r="J4" s="119">
        <v>41700</v>
      </c>
      <c r="K4" s="117"/>
      <c r="L4" s="117">
        <v>44316</v>
      </c>
      <c r="M4" s="60"/>
      <c r="N4" s="60"/>
      <c r="O4" s="60"/>
    </row>
    <row r="5" spans="1:15" ht="27.95" customHeight="1">
      <c r="A5" s="53">
        <v>4</v>
      </c>
      <c r="B5" s="53" t="s">
        <v>29</v>
      </c>
      <c r="C5" s="110"/>
      <c r="D5" s="117">
        <v>44308</v>
      </c>
      <c r="E5" s="118" t="str">
        <f>IFERROR(VLOOKUP(B5,COA!A:C,2,0),"-")</f>
        <v xml:space="preserve">ကိုေက်ာ္စိုး </v>
      </c>
      <c r="F5" s="118" t="str">
        <f>IFERROR(VLOOKUP($B5,COA!$A:$C,3,0),"-")</f>
        <v>ဝါးေသာက္</v>
      </c>
      <c r="G5" s="118" t="s">
        <v>26</v>
      </c>
      <c r="H5" s="119">
        <v>63200</v>
      </c>
      <c r="I5" s="119"/>
      <c r="J5" s="119">
        <v>63200</v>
      </c>
      <c r="K5" s="117"/>
      <c r="L5" s="117">
        <v>44316</v>
      </c>
      <c r="M5" s="60"/>
      <c r="N5" s="60"/>
      <c r="O5" s="60"/>
    </row>
    <row r="6" spans="1:15" ht="27.95" customHeight="1">
      <c r="A6" s="53">
        <v>5</v>
      </c>
      <c r="B6" s="53" t="s">
        <v>29</v>
      </c>
      <c r="C6" s="110"/>
      <c r="D6" s="117">
        <v>44308</v>
      </c>
      <c r="E6" s="118" t="str">
        <f>IFERROR(VLOOKUP(B6,COA!A:C,2,0),"-")</f>
        <v xml:space="preserve">ကိုေက်ာ္စိုး </v>
      </c>
      <c r="F6" s="118" t="str">
        <f>IFERROR(VLOOKUP($B6,COA!$A:$C,3,0),"-")</f>
        <v>ဝါးေသာက္</v>
      </c>
      <c r="G6" s="118" t="s">
        <v>26</v>
      </c>
      <c r="H6" s="119">
        <v>12000</v>
      </c>
      <c r="I6" s="119"/>
      <c r="J6" s="119">
        <v>12000</v>
      </c>
      <c r="K6" s="117"/>
      <c r="L6" s="117">
        <v>44316</v>
      </c>
      <c r="M6" s="60"/>
      <c r="N6" s="60"/>
      <c r="O6" s="60"/>
    </row>
    <row r="7" spans="1:15" ht="27.95" customHeight="1">
      <c r="A7" s="53">
        <v>6</v>
      </c>
      <c r="B7" s="53" t="s">
        <v>30</v>
      </c>
      <c r="C7" s="110"/>
      <c r="D7" s="117">
        <v>44308</v>
      </c>
      <c r="E7" s="118" t="str">
        <f>IFERROR(VLOOKUP(B7,COA!A:C,2,0),"-")</f>
        <v>ကိုသန္႔ဇင္</v>
      </c>
      <c r="F7" s="118" t="str">
        <f>IFERROR(VLOOKUP($B7,COA!$A:$C,3,0),"-")</f>
        <v>ဝါးေသာက္</v>
      </c>
      <c r="G7" s="118" t="s">
        <v>26</v>
      </c>
      <c r="H7" s="119">
        <v>121200</v>
      </c>
      <c r="I7" s="119"/>
      <c r="J7" s="119">
        <v>121200</v>
      </c>
      <c r="K7" s="117"/>
      <c r="L7" s="117">
        <v>44316</v>
      </c>
      <c r="M7" s="60"/>
      <c r="N7" s="60"/>
      <c r="O7" s="60"/>
    </row>
    <row r="8" spans="1:15" ht="27.95" customHeight="1">
      <c r="A8" s="53">
        <v>7</v>
      </c>
      <c r="B8" s="53" t="s">
        <v>30</v>
      </c>
      <c r="C8" s="110"/>
      <c r="D8" s="117">
        <v>44308</v>
      </c>
      <c r="E8" s="118" t="str">
        <f>IFERROR(VLOOKUP(B8,COA!A:C,2,0),"-")</f>
        <v>ကိုသန္႔ဇင္</v>
      </c>
      <c r="F8" s="118" t="str">
        <f>IFERROR(VLOOKUP($B8,COA!$A:$C,3,0),"-")</f>
        <v>ဝါးေသာက္</v>
      </c>
      <c r="G8" s="118" t="s">
        <v>26</v>
      </c>
      <c r="H8" s="119"/>
      <c r="I8" s="119">
        <v>120000</v>
      </c>
      <c r="J8" s="119">
        <v>-120000</v>
      </c>
      <c r="K8" s="118"/>
      <c r="L8" s="117">
        <v>44316</v>
      </c>
      <c r="M8" s="60"/>
      <c r="N8" s="60"/>
      <c r="O8" s="60"/>
    </row>
    <row r="9" spans="1:15" ht="27.95" customHeight="1">
      <c r="A9" s="53">
        <v>8</v>
      </c>
      <c r="B9" s="53" t="s">
        <v>30</v>
      </c>
      <c r="C9" s="110"/>
      <c r="D9" s="117">
        <v>44308</v>
      </c>
      <c r="E9" s="118" t="str">
        <f>IFERROR(VLOOKUP(B9,COA!A:C,2,0),"-")</f>
        <v>ကိုသန္႔ဇင္</v>
      </c>
      <c r="F9" s="118" t="str">
        <f>IFERROR(VLOOKUP($B9,COA!$A:$C,3,0),"-")</f>
        <v>ဝါးေသာက္</v>
      </c>
      <c r="G9" s="118" t="s">
        <v>26</v>
      </c>
      <c r="H9" s="119">
        <v>8000</v>
      </c>
      <c r="I9" s="119"/>
      <c r="J9" s="119">
        <v>8000</v>
      </c>
      <c r="K9" s="118"/>
      <c r="L9" s="117">
        <v>44316</v>
      </c>
      <c r="M9" s="60"/>
      <c r="N9" s="60"/>
      <c r="O9" s="60"/>
    </row>
    <row r="10" spans="1:15" ht="27.95" customHeight="1">
      <c r="A10" s="53">
        <v>9</v>
      </c>
      <c r="B10" s="53" t="s">
        <v>31</v>
      </c>
      <c r="C10" s="110"/>
      <c r="D10" s="117">
        <v>44308</v>
      </c>
      <c r="E10" s="118" t="str">
        <f>IFERROR(VLOOKUP(B10,COA!A:C,2,0),"-")</f>
        <v xml:space="preserve">ကိုတင္လွ </v>
      </c>
      <c r="F10" s="118" t="str">
        <f>IFERROR(VLOOKUP($B10,COA!$A:$C,3,0),"-")</f>
        <v>မဝန္း</v>
      </c>
      <c r="G10" s="118" t="s">
        <v>26</v>
      </c>
      <c r="H10" s="119">
        <v>61700</v>
      </c>
      <c r="I10" s="119"/>
      <c r="J10" s="119">
        <v>61700</v>
      </c>
      <c r="K10" s="118"/>
      <c r="L10" s="117">
        <v>44316</v>
      </c>
      <c r="M10" s="60"/>
      <c r="N10" s="60"/>
      <c r="O10" s="60"/>
    </row>
    <row r="11" spans="1:15" ht="27.95" customHeight="1">
      <c r="A11" s="53">
        <v>10</v>
      </c>
      <c r="B11" s="53" t="s">
        <v>31</v>
      </c>
      <c r="C11" s="110"/>
      <c r="D11" s="117">
        <v>44308</v>
      </c>
      <c r="E11" s="118" t="str">
        <f>IFERROR(VLOOKUP(B11,COA!A:C,2,0),"-")</f>
        <v xml:space="preserve">ကိုတင္လွ </v>
      </c>
      <c r="F11" s="118" t="str">
        <f>IFERROR(VLOOKUP($B11,COA!$A:$C,3,0),"-")</f>
        <v>မဝန္း</v>
      </c>
      <c r="G11" s="118" t="s">
        <v>26</v>
      </c>
      <c r="H11" s="119"/>
      <c r="I11" s="119">
        <v>30000</v>
      </c>
      <c r="J11" s="119">
        <v>-30000</v>
      </c>
      <c r="K11" s="118"/>
      <c r="L11" s="117">
        <v>44308</v>
      </c>
    </row>
    <row r="12" spans="1:15" ht="27.95" customHeight="1">
      <c r="A12" s="53">
        <v>11</v>
      </c>
      <c r="B12" s="53" t="s">
        <v>32</v>
      </c>
      <c r="C12" s="111"/>
      <c r="D12" s="117">
        <v>44308</v>
      </c>
      <c r="E12" s="118" t="str">
        <f>IFERROR(VLOOKUP(B12,COA!A:C,2,0),"-")</f>
        <v xml:space="preserve">ေမာင္ျမင့္သူ </v>
      </c>
      <c r="F12" s="118" t="str">
        <f>IFERROR(VLOOKUP($B12,COA!$A:$C,3,0),"-")</f>
        <v>ခရိုကၡနိ</v>
      </c>
      <c r="G12" s="118" t="s">
        <v>26</v>
      </c>
      <c r="H12" s="119">
        <v>134300</v>
      </c>
      <c r="I12" s="119"/>
      <c r="J12" s="119">
        <v>134300</v>
      </c>
      <c r="K12" s="118"/>
      <c r="L12" s="117">
        <v>44316</v>
      </c>
    </row>
    <row r="13" spans="1:15" ht="27.95" customHeight="1">
      <c r="A13" s="53">
        <v>12</v>
      </c>
      <c r="B13" s="53" t="s">
        <v>32</v>
      </c>
      <c r="C13" s="111"/>
      <c r="D13" s="117">
        <v>44308</v>
      </c>
      <c r="E13" s="118" t="str">
        <f>IFERROR(VLOOKUP(B13,COA!A:C,2,0),"-")</f>
        <v xml:space="preserve">ေမာင္ျမင့္သူ </v>
      </c>
      <c r="F13" s="118" t="str">
        <f>IFERROR(VLOOKUP($B13,COA!$A:$C,3,0),"-")</f>
        <v>ခရိုကၡနိ</v>
      </c>
      <c r="G13" s="118" t="s">
        <v>26</v>
      </c>
      <c r="H13" s="119"/>
      <c r="I13" s="119">
        <v>55000</v>
      </c>
      <c r="J13" s="119">
        <v>-55000</v>
      </c>
      <c r="K13" s="118"/>
      <c r="L13" s="117">
        <v>44316</v>
      </c>
    </row>
    <row r="14" spans="1:15" ht="27.95" customHeight="1">
      <c r="A14" s="53">
        <v>13</v>
      </c>
      <c r="B14" s="53" t="s">
        <v>33</v>
      </c>
      <c r="C14" s="111"/>
      <c r="D14" s="117">
        <v>44307</v>
      </c>
      <c r="E14" s="118" t="str">
        <f>IFERROR(VLOOKUP(B14,COA!A:C,2,0),"-")</f>
        <v xml:space="preserve">ဦးေဇာ္ေထြး </v>
      </c>
      <c r="F14" s="118" t="str">
        <f>IFERROR(VLOOKUP($B14,COA!$A:$C,3,0),"-")</f>
        <v>သဲကုန္းတန္း</v>
      </c>
      <c r="G14" s="118" t="s">
        <v>44</v>
      </c>
      <c r="H14" s="119">
        <v>1200000</v>
      </c>
      <c r="I14" s="119"/>
      <c r="J14" s="119">
        <v>1200000</v>
      </c>
      <c r="K14" s="118"/>
      <c r="L14" s="117">
        <v>44316</v>
      </c>
    </row>
    <row r="15" spans="1:15" ht="27.95" customHeight="1">
      <c r="A15" s="122">
        <v>14</v>
      </c>
      <c r="B15" s="118" t="s">
        <v>27</v>
      </c>
      <c r="C15" s="111"/>
      <c r="D15" s="117">
        <v>44308</v>
      </c>
      <c r="E15" s="118" t="str">
        <f>IFERROR(VLOOKUP(B15,COA!A:C,2,0),"-")</f>
        <v xml:space="preserve">ကိုမ်ိဳးသူ </v>
      </c>
      <c r="F15" s="118" t="str">
        <f>IFERROR(VLOOKUP($B15,COA!$A:$C,3,0),"-")</f>
        <v>ဝါးေသာက္</v>
      </c>
      <c r="G15" s="118" t="s">
        <v>26</v>
      </c>
      <c r="H15" s="119"/>
      <c r="I15" s="119">
        <v>140500</v>
      </c>
      <c r="J15" s="119">
        <v>-140500</v>
      </c>
      <c r="K15" s="118"/>
      <c r="L15" s="117">
        <v>44316</v>
      </c>
    </row>
    <row r="16" spans="1:15" ht="27.95" customHeight="1">
      <c r="A16" s="122">
        <v>15</v>
      </c>
      <c r="B16" s="118" t="s">
        <v>27</v>
      </c>
      <c r="C16" s="111"/>
      <c r="D16" s="117">
        <v>44308</v>
      </c>
      <c r="E16" s="118" t="str">
        <f>IFERROR(VLOOKUP(B16,COA!A:C,2,0),"-")</f>
        <v xml:space="preserve">ကိုမ်ိဳးသူ </v>
      </c>
      <c r="F16" s="118" t="str">
        <f>IFERROR(VLOOKUP($B16,COA!$A:$C,3,0),"-")</f>
        <v>ဝါးေသာက္</v>
      </c>
      <c r="G16" s="118" t="s">
        <v>26</v>
      </c>
      <c r="H16" s="119">
        <v>188300</v>
      </c>
      <c r="I16" s="119"/>
      <c r="J16" s="119">
        <v>188300</v>
      </c>
      <c r="K16" s="118"/>
      <c r="L16" s="117">
        <v>44316</v>
      </c>
    </row>
    <row r="17" spans="1:21" ht="27.95" customHeight="1">
      <c r="A17" s="122">
        <v>16</v>
      </c>
      <c r="B17" s="118" t="s">
        <v>32</v>
      </c>
      <c r="C17" s="111"/>
      <c r="D17" s="117">
        <v>44308</v>
      </c>
      <c r="E17" s="118" t="str">
        <f>IFERROR(VLOOKUP(B17,COA!A:C,2,0),"-")</f>
        <v xml:space="preserve">ေမာင္ျမင့္သူ </v>
      </c>
      <c r="F17" s="118" t="str">
        <f>IFERROR(VLOOKUP($B17,COA!$A:$C,3,0),"-")</f>
        <v>ခရိုကၡနိ</v>
      </c>
      <c r="G17" s="118" t="s">
        <v>26</v>
      </c>
      <c r="H17" s="119">
        <v>34000</v>
      </c>
      <c r="I17" s="119"/>
      <c r="J17" s="119">
        <v>34000</v>
      </c>
      <c r="K17" s="118"/>
      <c r="L17" s="117">
        <v>44316</v>
      </c>
    </row>
    <row r="18" spans="1:21" ht="27.95" customHeight="1">
      <c r="A18" s="122">
        <v>17</v>
      </c>
      <c r="B18" s="118" t="s">
        <v>27</v>
      </c>
      <c r="C18" s="111"/>
      <c r="D18" s="117">
        <v>44309</v>
      </c>
      <c r="E18" s="118" t="str">
        <f>IFERROR(VLOOKUP(B18,COA!A:C,2,0),"-")</f>
        <v xml:space="preserve">ကိုမ်ိဳးသူ </v>
      </c>
      <c r="F18" s="118" t="str">
        <f>IFERROR(VLOOKUP($B18,COA!$A:$C,3,0),"-")</f>
        <v>ဝါးေသာက္</v>
      </c>
      <c r="G18" s="118" t="s">
        <v>26</v>
      </c>
      <c r="H18" s="119">
        <v>7900</v>
      </c>
      <c r="I18" s="119"/>
      <c r="J18" s="119">
        <v>7900</v>
      </c>
      <c r="K18" s="118"/>
      <c r="L18" s="117">
        <v>44316</v>
      </c>
    </row>
    <row r="19" spans="1:21" ht="27.95" customHeight="1">
      <c r="A19" s="122">
        <v>18</v>
      </c>
      <c r="B19" s="118" t="s">
        <v>29</v>
      </c>
      <c r="C19" s="111"/>
      <c r="D19" s="117">
        <v>44311</v>
      </c>
      <c r="E19" s="118" t="str">
        <f>IFERROR(VLOOKUP(B19,COA!A:C,2,0),"-")</f>
        <v xml:space="preserve">ကိုေက်ာ္စိုး </v>
      </c>
      <c r="F19" s="118" t="str">
        <f>IFERROR(VLOOKUP($B19,COA!$A:$C,3,0),"-")</f>
        <v>ဝါးေသာက္</v>
      </c>
      <c r="G19" s="118" t="s">
        <v>26</v>
      </c>
      <c r="H19" s="119">
        <v>1400</v>
      </c>
      <c r="I19" s="119"/>
      <c r="J19" s="119">
        <v>1400</v>
      </c>
      <c r="K19" s="118"/>
      <c r="L19" s="117">
        <v>44316</v>
      </c>
    </row>
    <row r="20" spans="1:21" ht="27.95" customHeight="1">
      <c r="A20" s="122">
        <v>19</v>
      </c>
      <c r="B20" s="118" t="s">
        <v>33</v>
      </c>
      <c r="C20" s="111"/>
      <c r="D20" s="117">
        <v>44313</v>
      </c>
      <c r="E20" s="118" t="str">
        <f>IFERROR(VLOOKUP(B20,COA!A:C,2,0),"-")</f>
        <v xml:space="preserve">ဦးေဇာ္ေထြး </v>
      </c>
      <c r="F20" s="118" t="str">
        <f>IFERROR(VLOOKUP($B20,COA!$A:$C,3,0),"-")</f>
        <v>သဲကုန္းတန္း</v>
      </c>
      <c r="G20" s="118" t="s">
        <v>59</v>
      </c>
      <c r="H20" s="119">
        <v>31000</v>
      </c>
      <c r="I20" s="119"/>
      <c r="J20" s="119">
        <v>31000</v>
      </c>
      <c r="K20" s="118"/>
      <c r="L20" s="117">
        <v>44316</v>
      </c>
    </row>
    <row r="21" spans="1:21" ht="27.95" customHeight="1">
      <c r="A21" s="122">
        <v>21</v>
      </c>
      <c r="B21" s="118" t="s">
        <v>32</v>
      </c>
      <c r="C21" s="111"/>
      <c r="D21" s="117">
        <v>44315</v>
      </c>
      <c r="E21" s="118" t="str">
        <f>IFERROR(VLOOKUP(B21,COA!A:C,2,0),"-")</f>
        <v xml:space="preserve">ေမာင္ျမင့္သူ </v>
      </c>
      <c r="F21" s="118" t="str">
        <f>IFERROR(VLOOKUP($B21,COA!$A:$C,3,0),"-")</f>
        <v>ခရိုကၡနိ</v>
      </c>
      <c r="G21" s="118" t="s">
        <v>63</v>
      </c>
      <c r="H21" s="119"/>
      <c r="I21" s="119">
        <v>20000</v>
      </c>
      <c r="J21" s="119">
        <v>-20000</v>
      </c>
      <c r="K21" s="118"/>
      <c r="L21" s="117">
        <v>44317</v>
      </c>
    </row>
    <row r="22" spans="1:21" s="103" customFormat="1" ht="27.95" customHeight="1">
      <c r="A22" s="122">
        <v>22</v>
      </c>
      <c r="B22" s="118" t="s">
        <v>33</v>
      </c>
      <c r="C22" s="111"/>
      <c r="D22" s="117">
        <v>44316</v>
      </c>
      <c r="E22" s="118" t="str">
        <f>IFERROR(VLOOKUP(B22,COA!A:C,2,0),"-")</f>
        <v xml:space="preserve">ဦးေဇာ္ေထြး </v>
      </c>
      <c r="F22" s="118" t="str">
        <f>IFERROR(VLOOKUP($B22,COA!$A:$C,3,0),"-")</f>
        <v>သဲကုန္းတန္း</v>
      </c>
      <c r="G22" s="118" t="s">
        <v>63</v>
      </c>
      <c r="H22" s="119"/>
      <c r="I22" s="119">
        <v>300000</v>
      </c>
      <c r="J22" s="119">
        <v>-300000</v>
      </c>
      <c r="K22" s="118"/>
      <c r="L22" s="117"/>
      <c r="M22" s="104"/>
      <c r="N22" s="104"/>
      <c r="O22" s="104"/>
      <c r="P22" s="104"/>
      <c r="Q22" s="104"/>
      <c r="R22" s="105"/>
      <c r="S22" s="104"/>
      <c r="T22" s="104"/>
      <c r="U22" s="104"/>
    </row>
    <row r="23" spans="1:21" ht="27.95" customHeight="1">
      <c r="A23" s="122">
        <v>23</v>
      </c>
      <c r="B23" s="118" t="s">
        <v>25</v>
      </c>
      <c r="C23" s="111"/>
      <c r="D23" s="117">
        <v>44317</v>
      </c>
      <c r="E23" s="118" t="str">
        <f>IFERROR(VLOOKUP(B23,COA!A:C,2,0),"-")</f>
        <v xml:space="preserve">ကိုခ်စ္ေက်ာ္သူ </v>
      </c>
      <c r="F23" s="118" t="str">
        <f>IFERROR(VLOOKUP($B23,COA!$A:$C,3,0),"-")</f>
        <v>ဝါးေသာက္</v>
      </c>
      <c r="G23" s="118" t="s">
        <v>26</v>
      </c>
      <c r="H23" s="119">
        <v>1200</v>
      </c>
      <c r="I23" s="119"/>
      <c r="J23" s="119">
        <v>1200</v>
      </c>
      <c r="K23" s="118"/>
      <c r="L23" s="117">
        <v>44347</v>
      </c>
    </row>
    <row r="24" spans="1:21" ht="27.95" customHeight="1">
      <c r="A24" s="122">
        <v>24</v>
      </c>
      <c r="B24" s="118" t="s">
        <v>33</v>
      </c>
      <c r="C24" s="111"/>
      <c r="D24" s="117">
        <v>44318</v>
      </c>
      <c r="E24" s="118" t="str">
        <f>IFERROR(VLOOKUP(B24,COA!A:C,2,0),"-")</f>
        <v xml:space="preserve">ဦးေဇာ္ေထြး </v>
      </c>
      <c r="F24" s="118" t="str">
        <f>IFERROR(VLOOKUP($B24,COA!$A:$C,3,0),"-")</f>
        <v>သဲကုန္းတန္း</v>
      </c>
      <c r="G24" s="118" t="s">
        <v>54</v>
      </c>
      <c r="H24" s="119">
        <v>40000</v>
      </c>
      <c r="I24" s="119"/>
      <c r="J24" s="119">
        <v>40000</v>
      </c>
      <c r="K24" s="118"/>
      <c r="L24" s="117">
        <v>44347</v>
      </c>
    </row>
    <row r="25" spans="1:21" ht="27.95" customHeight="1">
      <c r="A25" s="122">
        <v>25</v>
      </c>
      <c r="B25" s="118" t="s">
        <v>33</v>
      </c>
      <c r="C25" s="111"/>
      <c r="D25" s="117">
        <v>44319</v>
      </c>
      <c r="E25" s="118" t="str">
        <f>IFERROR(VLOOKUP(B25,COA!A:C,2,0),"-")</f>
        <v xml:space="preserve">ဦးေဇာ္ေထြး </v>
      </c>
      <c r="F25" s="118" t="str">
        <f>IFERROR(VLOOKUP($B25,COA!$A:$C,3,0),"-")</f>
        <v>သဲကုန္းတန္း</v>
      </c>
      <c r="G25" s="118" t="s">
        <v>54</v>
      </c>
      <c r="H25" s="119">
        <v>53000</v>
      </c>
      <c r="I25" s="119"/>
      <c r="J25" s="119">
        <v>53000</v>
      </c>
      <c r="K25" s="118"/>
      <c r="L25" s="117">
        <v>44347</v>
      </c>
    </row>
    <row r="26" spans="1:21" ht="27.95" customHeight="1">
      <c r="A26" s="122">
        <v>26</v>
      </c>
      <c r="B26" s="118" t="s">
        <v>25</v>
      </c>
      <c r="C26" s="111"/>
      <c r="D26" s="117">
        <v>44319</v>
      </c>
      <c r="E26" s="118"/>
      <c r="F26" s="118"/>
      <c r="G26" s="118" t="s">
        <v>63</v>
      </c>
      <c r="H26" s="119"/>
      <c r="I26" s="119">
        <v>1200</v>
      </c>
      <c r="J26" s="119">
        <v>-1200</v>
      </c>
      <c r="K26" s="118"/>
      <c r="L26" s="117"/>
    </row>
    <row r="27" spans="1:21" ht="27.95" customHeight="1">
      <c r="A27" s="122">
        <v>27</v>
      </c>
      <c r="B27" s="118" t="s">
        <v>30</v>
      </c>
      <c r="C27" s="111"/>
      <c r="D27" s="117">
        <v>44322</v>
      </c>
      <c r="E27" s="118" t="str">
        <f>IFERROR(VLOOKUP(B27,COA!A:C,2,0),"-")</f>
        <v>ကိုသန္႔ဇင္</v>
      </c>
      <c r="F27" s="118" t="str">
        <f>IFERROR(VLOOKUP($B27,COA!$A:$C,3,0),"-")</f>
        <v>ဝါးေသာက္</v>
      </c>
      <c r="G27" s="118" t="s">
        <v>26</v>
      </c>
      <c r="H27" s="119">
        <v>9000</v>
      </c>
      <c r="I27" s="119"/>
      <c r="J27" s="119">
        <v>9000</v>
      </c>
      <c r="K27" s="118"/>
      <c r="L27" s="117">
        <v>44347</v>
      </c>
    </row>
    <row r="28" spans="1:21" ht="27.95" customHeight="1">
      <c r="A28" s="122">
        <v>28</v>
      </c>
      <c r="B28" s="118" t="s">
        <v>33</v>
      </c>
      <c r="C28" s="111"/>
      <c r="D28" s="117">
        <v>44330</v>
      </c>
      <c r="E28" s="118" t="str">
        <f>IFERROR(VLOOKUP(B28,COA!A:C,2,0),"-")</f>
        <v xml:space="preserve">ဦးေဇာ္ေထြး </v>
      </c>
      <c r="F28" s="118" t="str">
        <f>IFERROR(VLOOKUP($B28,COA!$A:$C,3,0),"-")</f>
        <v>သဲကုန္းတန္း</v>
      </c>
      <c r="G28" s="118" t="s">
        <v>63</v>
      </c>
      <c r="H28" s="119"/>
      <c r="I28" s="119">
        <v>971000</v>
      </c>
      <c r="J28" s="119">
        <v>-971000</v>
      </c>
      <c r="K28" s="118"/>
      <c r="L28" s="117"/>
    </row>
    <row r="29" spans="1:21" ht="27.95" customHeight="1">
      <c r="A29" s="122">
        <v>29</v>
      </c>
      <c r="B29" s="118" t="s">
        <v>32</v>
      </c>
      <c r="C29" s="111"/>
      <c r="D29" s="117">
        <v>44331</v>
      </c>
      <c r="E29" s="118" t="str">
        <f>IFERROR(VLOOKUP(B29,COA!A:C,2,0),"-")</f>
        <v xml:space="preserve">ေမာင္ျမင့္သူ </v>
      </c>
      <c r="F29" s="118" t="str">
        <f>IFERROR(VLOOKUP($B29,COA!$A:$C,3,0),"-")</f>
        <v>ခရိုကၡနိ</v>
      </c>
      <c r="G29" s="118" t="s">
        <v>63</v>
      </c>
      <c r="H29" s="119"/>
      <c r="I29" s="119">
        <v>20000</v>
      </c>
      <c r="J29" s="119">
        <v>-20000</v>
      </c>
      <c r="K29" s="118"/>
      <c r="L29" s="117"/>
    </row>
    <row r="30" spans="1:21" ht="27.95" customHeight="1">
      <c r="A30" s="122">
        <v>30</v>
      </c>
      <c r="B30" s="118" t="s">
        <v>29</v>
      </c>
      <c r="C30" s="111"/>
      <c r="D30" s="117">
        <v>44331</v>
      </c>
      <c r="E30" s="118" t="str">
        <f>IFERROR(VLOOKUP(B30,COA!A:C,2,0),"-")</f>
        <v xml:space="preserve">ကိုေက်ာ္စိုး </v>
      </c>
      <c r="F30" s="118" t="str">
        <f>IFERROR(VLOOKUP($B30,COA!$A:$C,3,0),"-")</f>
        <v>ဝါးေသာက္</v>
      </c>
      <c r="G30" s="118" t="s">
        <v>26</v>
      </c>
      <c r="H30" s="119">
        <v>16300</v>
      </c>
      <c r="I30" s="119"/>
      <c r="J30" s="119">
        <v>16300</v>
      </c>
      <c r="K30" s="118"/>
      <c r="L30" s="117">
        <v>44347</v>
      </c>
    </row>
    <row r="31" spans="1:21" ht="27.95" customHeight="1">
      <c r="A31" s="122">
        <v>31</v>
      </c>
      <c r="B31" s="118" t="s">
        <v>29</v>
      </c>
      <c r="C31" s="111"/>
      <c r="D31" s="117">
        <v>44339</v>
      </c>
      <c r="E31" s="118" t="str">
        <f>IFERROR(VLOOKUP(B31,COA!A:C,2,0),"-")</f>
        <v xml:space="preserve">ကိုေက်ာ္စိုး </v>
      </c>
      <c r="F31" s="118" t="str">
        <f>IFERROR(VLOOKUP($B31,COA!$A:$C,3,0),"-")</f>
        <v>ဝါးေသာက္</v>
      </c>
      <c r="G31" s="118" t="s">
        <v>63</v>
      </c>
      <c r="H31" s="119"/>
      <c r="I31" s="119">
        <v>50000</v>
      </c>
      <c r="J31" s="119">
        <v>-50000</v>
      </c>
      <c r="K31" s="118"/>
      <c r="L31" s="117"/>
    </row>
    <row r="32" spans="1:21" ht="27.95" customHeight="1">
      <c r="A32" s="122">
        <v>32</v>
      </c>
      <c r="B32" s="118" t="s">
        <v>28</v>
      </c>
      <c r="C32" s="111"/>
      <c r="D32" s="117">
        <v>44339</v>
      </c>
      <c r="E32" s="118" t="str">
        <f>IFERROR(VLOOKUP(B32,COA!A:C,2,0),"-")</f>
        <v>ကိုကိုင္ဇာေဌး</v>
      </c>
      <c r="F32" s="118" t="str">
        <f>IFERROR(VLOOKUP($B32,COA!$A:$C,3,0),"-")</f>
        <v>ဝါးေသာက္</v>
      </c>
      <c r="G32" s="118" t="s">
        <v>63</v>
      </c>
      <c r="H32" s="119"/>
      <c r="I32" s="119">
        <v>10000</v>
      </c>
      <c r="J32" s="119">
        <v>-10000</v>
      </c>
      <c r="K32" s="118"/>
      <c r="L32" s="117"/>
    </row>
    <row r="33" spans="1:21" s="103" customFormat="1" ht="27.95" customHeight="1">
      <c r="A33" s="122">
        <v>33</v>
      </c>
      <c r="B33" s="118" t="s">
        <v>32</v>
      </c>
      <c r="C33" s="111"/>
      <c r="D33" s="117">
        <v>44339</v>
      </c>
      <c r="E33" s="118" t="str">
        <f>IFERROR(VLOOKUP(B33,COA!A:C,2,0),"-")</f>
        <v xml:space="preserve">ေမာင္ျမင့္သူ </v>
      </c>
      <c r="F33" s="118" t="str">
        <f>IFERROR(VLOOKUP($B33,COA!$A:$C,3,0),"-")</f>
        <v>ခရိုကၡနိ</v>
      </c>
      <c r="G33" s="118" t="s">
        <v>63</v>
      </c>
      <c r="H33" s="119"/>
      <c r="I33" s="119">
        <v>30000</v>
      </c>
      <c r="J33" s="119">
        <v>-30000</v>
      </c>
      <c r="K33" s="118"/>
      <c r="L33" s="117"/>
      <c r="M33" s="104"/>
      <c r="N33" s="104"/>
      <c r="O33" s="104"/>
      <c r="P33" s="104"/>
      <c r="Q33" s="104"/>
      <c r="R33" s="105"/>
      <c r="S33" s="104"/>
      <c r="T33" s="104"/>
      <c r="U33" s="104"/>
    </row>
    <row r="34" spans="1:21" ht="27.95" customHeight="1">
      <c r="A34" s="122">
        <v>34</v>
      </c>
      <c r="B34" s="118" t="s">
        <v>30</v>
      </c>
      <c r="C34" s="111"/>
      <c r="D34" s="117">
        <v>44350</v>
      </c>
      <c r="E34" s="118" t="str">
        <f>IFERROR(VLOOKUP(B34,COA!A:C,2,0),"-")</f>
        <v>ကိုသန္႔ဇင္</v>
      </c>
      <c r="F34" s="118" t="str">
        <f>IFERROR(VLOOKUP($B34,COA!$A:$C,3,0),"-")</f>
        <v>ဝါးေသာက္</v>
      </c>
      <c r="G34" s="118" t="s">
        <v>26</v>
      </c>
      <c r="H34" s="119">
        <v>82200</v>
      </c>
      <c r="I34" s="119"/>
      <c r="J34" s="119">
        <v>82200</v>
      </c>
      <c r="K34" s="118"/>
      <c r="L34" s="117">
        <v>44377</v>
      </c>
    </row>
    <row r="35" spans="1:21" ht="27.95" customHeight="1">
      <c r="A35" s="122">
        <v>35</v>
      </c>
      <c r="B35" s="118" t="s">
        <v>33</v>
      </c>
      <c r="C35" s="111"/>
      <c r="D35" s="117">
        <v>44351</v>
      </c>
      <c r="E35" s="118" t="str">
        <f>IFERROR(VLOOKUP(B35,COA!A:C,2,0),"-")</f>
        <v xml:space="preserve">ဦးေဇာ္ေထြး </v>
      </c>
      <c r="F35" s="118" t="str">
        <f>IFERROR(VLOOKUP($B35,COA!$A:$C,3,0),"-")</f>
        <v>သဲကုန္းတန္း</v>
      </c>
      <c r="G35" s="118" t="s">
        <v>63</v>
      </c>
      <c r="H35" s="119"/>
      <c r="I35" s="119">
        <v>53000</v>
      </c>
      <c r="J35" s="119">
        <v>-53000</v>
      </c>
      <c r="K35" s="118"/>
      <c r="L35" s="117"/>
    </row>
    <row r="36" spans="1:21" ht="27.95" customHeight="1">
      <c r="A36" s="122">
        <v>36</v>
      </c>
      <c r="B36" s="118" t="s">
        <v>33</v>
      </c>
      <c r="C36" s="111"/>
      <c r="D36" s="117">
        <v>44353</v>
      </c>
      <c r="E36" s="118" t="str">
        <f>IFERROR(VLOOKUP(B36,COA!A:C,2,0),"-")</f>
        <v xml:space="preserve">ဦးေဇာ္ေထြး </v>
      </c>
      <c r="F36" s="118" t="str">
        <f>IFERROR(VLOOKUP($B36,COA!$A:$C,3,0),"-")</f>
        <v>သဲကုန္းတန္း</v>
      </c>
      <c r="G36" s="118" t="s">
        <v>54</v>
      </c>
      <c r="H36" s="119">
        <v>11000</v>
      </c>
      <c r="I36" s="119"/>
      <c r="J36" s="119">
        <v>11000</v>
      </c>
      <c r="K36" s="118"/>
      <c r="L36" s="117">
        <v>44377</v>
      </c>
    </row>
    <row r="37" spans="1:21" ht="27.95" customHeight="1">
      <c r="A37" s="122">
        <v>37</v>
      </c>
      <c r="B37" s="118" t="s">
        <v>29</v>
      </c>
      <c r="C37" s="111"/>
      <c r="D37" s="117">
        <v>44357</v>
      </c>
      <c r="E37" s="118" t="str">
        <f>IFERROR(VLOOKUP(B37,COA!A:C,2,0),"-")</f>
        <v xml:space="preserve">ကိုေက်ာ္စိုး </v>
      </c>
      <c r="F37" s="118" t="str">
        <f>IFERROR(VLOOKUP($B37,COA!$A:$C,3,0),"-")</f>
        <v>ဝါးေသာက္</v>
      </c>
      <c r="G37" s="118" t="s">
        <v>54</v>
      </c>
      <c r="H37" s="119">
        <v>3000</v>
      </c>
      <c r="I37" s="119"/>
      <c r="J37" s="119">
        <v>3000</v>
      </c>
      <c r="K37" s="118"/>
      <c r="L37" s="117">
        <v>44377</v>
      </c>
    </row>
    <row r="38" spans="1:21" ht="27.95" customHeight="1">
      <c r="A38" s="122">
        <v>38</v>
      </c>
      <c r="B38" s="118" t="s">
        <v>25</v>
      </c>
      <c r="C38" s="111"/>
      <c r="D38" s="117">
        <v>44366</v>
      </c>
      <c r="E38" s="118" t="str">
        <f>IFERROR(VLOOKUP(B38,COA!A:C,2,0),"-")</f>
        <v xml:space="preserve">ကိုခ်စ္ေက်ာ္သူ </v>
      </c>
      <c r="F38" s="118" t="str">
        <f>IFERROR(VLOOKUP($B38,COA!$A:$C,3,0),"-")</f>
        <v>ဝါးေသာက္</v>
      </c>
      <c r="G38" s="118" t="s">
        <v>63</v>
      </c>
      <c r="H38" s="119"/>
      <c r="I38" s="119">
        <v>142500</v>
      </c>
      <c r="J38" s="119">
        <v>-142500</v>
      </c>
      <c r="K38" s="118"/>
      <c r="L38" s="117"/>
    </row>
    <row r="39" spans="1:21" ht="27.95" customHeight="1">
      <c r="A39" s="122">
        <v>39</v>
      </c>
      <c r="B39" s="118" t="s">
        <v>28</v>
      </c>
      <c r="C39" s="111"/>
      <c r="D39" s="117">
        <v>44376</v>
      </c>
      <c r="E39" s="118" t="str">
        <f>IFERROR(VLOOKUP(B39,COA!A:C,2,0),"-")</f>
        <v>ကိုကိုင္ဇာေဌး</v>
      </c>
      <c r="F39" s="118" t="str">
        <f>IFERROR(VLOOKUP($B39,COA!$A:$C,3,0),"-")</f>
        <v>ဝါးေသာက္</v>
      </c>
      <c r="G39" s="118" t="s">
        <v>63</v>
      </c>
      <c r="H39" s="119"/>
      <c r="I39" s="119">
        <v>10000</v>
      </c>
      <c r="J39" s="119">
        <v>-10000</v>
      </c>
      <c r="K39" s="118"/>
      <c r="L39" s="117">
        <v>44376</v>
      </c>
    </row>
    <row r="40" spans="1:21" s="103" customFormat="1" ht="27.95" customHeight="1">
      <c r="A40" s="122">
        <v>40</v>
      </c>
      <c r="B40" s="118" t="s">
        <v>31</v>
      </c>
      <c r="C40" s="111"/>
      <c r="D40" s="117">
        <v>44377</v>
      </c>
      <c r="E40" s="118" t="str">
        <f>IFERROR(VLOOKUP(B40,COA!A:C,2,0),"-")</f>
        <v xml:space="preserve">ကိုတင္လွ </v>
      </c>
      <c r="F40" s="118" t="str">
        <f>IFERROR(VLOOKUP($B40,COA!$A:$C,3,0),"-")</f>
        <v>မဝန္း</v>
      </c>
      <c r="G40" s="118" t="s">
        <v>63</v>
      </c>
      <c r="H40" s="119"/>
      <c r="I40" s="119">
        <v>10000</v>
      </c>
      <c r="J40" s="119">
        <v>-10000</v>
      </c>
      <c r="K40" s="118"/>
      <c r="L40" s="117">
        <v>44377</v>
      </c>
      <c r="M40" s="104"/>
      <c r="N40" s="104"/>
      <c r="O40" s="104"/>
      <c r="P40" s="104"/>
      <c r="Q40" s="104"/>
      <c r="R40" s="105"/>
      <c r="S40" s="104"/>
      <c r="T40" s="104"/>
      <c r="U40" s="104"/>
    </row>
    <row r="41" spans="1:21" ht="27.95" customHeight="1">
      <c r="A41" s="122">
        <v>41</v>
      </c>
      <c r="B41" s="118" t="s">
        <v>32</v>
      </c>
      <c r="C41" s="111"/>
      <c r="D41" s="117">
        <v>44382</v>
      </c>
      <c r="E41" s="118" t="str">
        <f>IFERROR(VLOOKUP(B41,COA!A:C,2,0),"-")</f>
        <v xml:space="preserve">ေမာင္ျမင့္သူ </v>
      </c>
      <c r="F41" s="118" t="str">
        <f>IFERROR(VLOOKUP($B41,COA!$A:$C,3,0),"-")</f>
        <v>ခရိုကၡနိ</v>
      </c>
      <c r="G41" s="118" t="s">
        <v>63</v>
      </c>
      <c r="H41" s="119"/>
      <c r="I41" s="119">
        <v>20000</v>
      </c>
      <c r="J41" s="119">
        <v>-20000</v>
      </c>
      <c r="K41" s="118"/>
      <c r="L41" s="117">
        <v>44382</v>
      </c>
    </row>
    <row r="42" spans="1:21" ht="27.95" customHeight="1">
      <c r="A42" s="122">
        <v>42</v>
      </c>
      <c r="B42" s="118" t="s">
        <v>32</v>
      </c>
      <c r="C42" s="111"/>
      <c r="D42" s="117">
        <v>44387</v>
      </c>
      <c r="E42" s="118" t="str">
        <f>IFERROR(VLOOKUP(B42,COA!A:C,2,0),"-")</f>
        <v xml:space="preserve">ေမာင္ျမင့္သူ </v>
      </c>
      <c r="F42" s="118" t="str">
        <f>IFERROR(VLOOKUP($B42,COA!$A:$C,3,0),"-")</f>
        <v>ခရိုကၡနိ</v>
      </c>
      <c r="G42" s="118" t="s">
        <v>26</v>
      </c>
      <c r="H42" s="119">
        <v>4500</v>
      </c>
      <c r="I42" s="119"/>
      <c r="J42" s="119">
        <v>4500</v>
      </c>
      <c r="K42" s="118"/>
      <c r="L42" s="117">
        <v>44408</v>
      </c>
    </row>
    <row r="43" spans="1:21" ht="27.95" customHeight="1">
      <c r="A43" s="122">
        <v>43</v>
      </c>
      <c r="B43" s="118" t="s">
        <v>32</v>
      </c>
      <c r="C43" s="111"/>
      <c r="D43" s="117">
        <v>44423</v>
      </c>
      <c r="E43" s="118" t="str">
        <f>IFERROR(VLOOKUP(B43,COA!A:C,2,0),"-")</f>
        <v xml:space="preserve">ေမာင္ျမင့္သူ </v>
      </c>
      <c r="F43" s="118" t="str">
        <f>IFERROR(VLOOKUP($B43,COA!$A:$C,3,0),"-")</f>
        <v>ခရိုကၡနိ</v>
      </c>
      <c r="G43" s="118" t="s">
        <v>63</v>
      </c>
      <c r="H43" s="119"/>
      <c r="I43" s="119">
        <v>27800</v>
      </c>
      <c r="J43" s="119">
        <v>-27800</v>
      </c>
      <c r="K43" s="118"/>
      <c r="L43" s="117"/>
    </row>
    <row r="44" spans="1:21" ht="27.95" customHeight="1">
      <c r="A44" s="122">
        <v>44</v>
      </c>
      <c r="B44" s="118" t="s">
        <v>30</v>
      </c>
      <c r="C44" s="111"/>
      <c r="D44" s="117">
        <v>44427</v>
      </c>
      <c r="E44" s="118" t="str">
        <f>IFERROR(VLOOKUP(B44,COA!A:C,2,0),"-")</f>
        <v>ကိုသန္႔ဇင္</v>
      </c>
      <c r="F44" s="118" t="str">
        <f>IFERROR(VLOOKUP($B44,COA!$A:$C,3,0),"-")</f>
        <v>ဝါးေသာက္</v>
      </c>
      <c r="G44" s="118" t="s">
        <v>63</v>
      </c>
      <c r="H44" s="119"/>
      <c r="I44" s="119">
        <v>50000</v>
      </c>
      <c r="J44" s="119">
        <v>-50000</v>
      </c>
      <c r="K44" s="118"/>
      <c r="L44" s="117"/>
    </row>
    <row r="45" spans="1:21" ht="27.95" customHeight="1">
      <c r="A45" s="122">
        <v>45</v>
      </c>
      <c r="B45" s="118" t="s">
        <v>32</v>
      </c>
      <c r="C45" s="111"/>
      <c r="D45" s="117">
        <v>44428</v>
      </c>
      <c r="E45" s="118" t="str">
        <f>IFERROR(VLOOKUP(B45,COA!A:C,2,0),"-")</f>
        <v xml:space="preserve">ေမာင္ျမင့္သူ </v>
      </c>
      <c r="F45" s="118" t="str">
        <f>IFERROR(VLOOKUP($B45,COA!$A:$C,3,0),"-")</f>
        <v>ခရိုကၡနိ</v>
      </c>
      <c r="G45" s="118" t="s">
        <v>26</v>
      </c>
      <c r="H45" s="119">
        <v>12300</v>
      </c>
      <c r="I45" s="119"/>
      <c r="J45" s="119">
        <v>12300</v>
      </c>
      <c r="K45" s="118"/>
      <c r="L45" s="117">
        <v>44439</v>
      </c>
    </row>
    <row r="46" spans="1:21" ht="27.95" customHeight="1">
      <c r="A46" s="122">
        <v>46</v>
      </c>
      <c r="B46" s="118" t="s">
        <v>27</v>
      </c>
      <c r="C46" s="111"/>
      <c r="D46" s="117">
        <v>44429</v>
      </c>
      <c r="E46" s="118" t="str">
        <f>IFERROR(VLOOKUP(B46,COA!A:C,2,0),"-")</f>
        <v xml:space="preserve">ကိုမ်ိဳးသူ </v>
      </c>
      <c r="F46" s="118" t="str">
        <f>IFERROR(VLOOKUP($B46,COA!$A:$C,3,0),"-")</f>
        <v>ဝါးေသာက္</v>
      </c>
      <c r="G46" s="118" t="s">
        <v>63</v>
      </c>
      <c r="H46" s="119"/>
      <c r="I46" s="119">
        <v>50000</v>
      </c>
      <c r="J46" s="119">
        <v>-50000</v>
      </c>
      <c r="K46" s="118"/>
      <c r="L46" s="117"/>
    </row>
    <row r="47" spans="1:21" ht="27.95" customHeight="1">
      <c r="A47" s="122">
        <v>47</v>
      </c>
      <c r="B47" s="118" t="s">
        <v>32</v>
      </c>
      <c r="C47" s="111"/>
      <c r="D47" s="117">
        <v>44434</v>
      </c>
      <c r="E47" s="118" t="str">
        <f>IFERROR(VLOOKUP(B47,COA!A:C,2,0),"-")</f>
        <v xml:space="preserve">ေမာင္ျမင့္သူ </v>
      </c>
      <c r="F47" s="118" t="str">
        <f>IFERROR(VLOOKUP($B47,COA!$A:$C,3,0),"-")</f>
        <v>ခရိုကၡနိ</v>
      </c>
      <c r="G47" s="118" t="s">
        <v>26</v>
      </c>
      <c r="H47" s="119">
        <v>4500</v>
      </c>
      <c r="I47" s="119"/>
      <c r="J47" s="119">
        <v>4500</v>
      </c>
      <c r="K47" s="118"/>
      <c r="L47" s="117">
        <v>44439</v>
      </c>
    </row>
    <row r="48" spans="1:21" ht="27.95" customHeight="1">
      <c r="A48" s="122">
        <v>48</v>
      </c>
      <c r="B48" s="118" t="s">
        <v>29</v>
      </c>
      <c r="C48" s="111"/>
      <c r="D48" s="117">
        <v>44453</v>
      </c>
      <c r="E48" s="118" t="str">
        <f>IFERROR(VLOOKUP(B48,COA!A:C,2,0),"-")</f>
        <v xml:space="preserve">ကိုေက်ာ္စိုး </v>
      </c>
      <c r="F48" s="118" t="str">
        <f>IFERROR(VLOOKUP($B48,COA!$A:$C,3,0),"-")</f>
        <v>ဝါးေသာက္</v>
      </c>
      <c r="G48" s="118" t="s">
        <v>26</v>
      </c>
      <c r="H48" s="119">
        <v>2500</v>
      </c>
      <c r="I48" s="119"/>
      <c r="J48" s="119">
        <v>2500</v>
      </c>
      <c r="K48" s="118"/>
      <c r="L48" s="117">
        <v>44469</v>
      </c>
    </row>
    <row r="49" spans="1:12" ht="27.95" customHeight="1">
      <c r="A49" s="122">
        <v>49</v>
      </c>
      <c r="B49" s="118" t="s">
        <v>25</v>
      </c>
      <c r="C49" s="111"/>
      <c r="D49" s="117">
        <v>44453</v>
      </c>
      <c r="E49" s="118" t="str">
        <f>IFERROR(VLOOKUP(B49,COA!A:C,2,0),"-")</f>
        <v xml:space="preserve">ကိုခ်စ္ေက်ာ္သူ </v>
      </c>
      <c r="F49" s="118" t="str">
        <f>IFERROR(VLOOKUP($B49,COA!$A:$C,3,0),"-")</f>
        <v>ဝါးေသာက္</v>
      </c>
      <c r="G49" s="118" t="s">
        <v>26</v>
      </c>
      <c r="H49" s="119">
        <v>24000</v>
      </c>
      <c r="I49" s="119"/>
      <c r="J49" s="119">
        <v>24000</v>
      </c>
      <c r="K49" s="118"/>
      <c r="L49" s="117">
        <v>44469</v>
      </c>
    </row>
    <row r="50" spans="1:12" ht="27.95" customHeight="1">
      <c r="A50" s="122">
        <v>50</v>
      </c>
      <c r="B50" s="118" t="s">
        <v>28</v>
      </c>
      <c r="C50" s="111"/>
      <c r="D50" s="117">
        <v>44455</v>
      </c>
      <c r="E50" s="118" t="str">
        <f>IFERROR(VLOOKUP(B50,COA!A:C,2,0),"-")</f>
        <v>ကိုကိုင္ဇာေဌး</v>
      </c>
      <c r="F50" s="118" t="str">
        <f>IFERROR(VLOOKUP($B50,COA!$A:$C,3,0),"-")</f>
        <v>ဝါးေသာက္</v>
      </c>
      <c r="G50" s="118" t="s">
        <v>26</v>
      </c>
      <c r="H50" s="119"/>
      <c r="I50" s="119">
        <v>21700</v>
      </c>
      <c r="J50" s="119">
        <v>-21700</v>
      </c>
      <c r="K50" s="118"/>
      <c r="L50" s="117"/>
    </row>
    <row r="51" spans="1:12" ht="27.95" customHeight="1">
      <c r="A51" s="122">
        <v>51</v>
      </c>
      <c r="B51" s="118" t="s">
        <v>28</v>
      </c>
      <c r="C51" s="111"/>
      <c r="D51" s="117">
        <v>44457</v>
      </c>
      <c r="E51" s="118" t="str">
        <f>IFERROR(VLOOKUP(B51,COA!A:C,2,0),"-")</f>
        <v>ကိုကိုင္ဇာေဌး</v>
      </c>
      <c r="F51" s="118" t="str">
        <f>IFERROR(VLOOKUP($B51,COA!$A:$C,3,0),"-")</f>
        <v>ဝါးေသာက္</v>
      </c>
      <c r="G51" s="118" t="s">
        <v>26</v>
      </c>
      <c r="H51" s="119">
        <v>6700</v>
      </c>
      <c r="I51" s="119"/>
      <c r="J51" s="119">
        <v>6700</v>
      </c>
      <c r="K51" s="118"/>
      <c r="L51" s="117">
        <v>44469</v>
      </c>
    </row>
    <row r="52" spans="1:12" ht="27.95" customHeight="1">
      <c r="A52" s="122">
        <v>52</v>
      </c>
      <c r="B52" s="118" t="s">
        <v>25</v>
      </c>
      <c r="C52" s="111"/>
      <c r="D52" s="117">
        <v>44473</v>
      </c>
      <c r="E52" s="118" t="str">
        <f>IFERROR(VLOOKUP(B52,COA!A:C,2,0),"-")</f>
        <v xml:space="preserve">ကိုခ်စ္ေက်ာ္သူ </v>
      </c>
      <c r="F52" s="118" t="str">
        <f>IFERROR(VLOOKUP($B52,COA!$A:$C,3,0),"-")</f>
        <v>ဝါးေသာက္</v>
      </c>
      <c r="G52" s="118" t="s">
        <v>26</v>
      </c>
      <c r="H52" s="119"/>
      <c r="I52" s="119">
        <v>10000</v>
      </c>
      <c r="J52" s="119">
        <v>-10000</v>
      </c>
      <c r="K52" s="118"/>
      <c r="L52" s="117">
        <v>44473</v>
      </c>
    </row>
    <row r="53" spans="1:12" ht="27.95" customHeight="1">
      <c r="A53" s="122">
        <v>53</v>
      </c>
      <c r="B53" s="118" t="s">
        <v>32</v>
      </c>
      <c r="C53" s="111"/>
      <c r="D53" s="117">
        <v>44474</v>
      </c>
      <c r="E53" s="118" t="str">
        <f>IFERROR(VLOOKUP(B53,COA!A:C,2,0),"-")</f>
        <v xml:space="preserve">ေမာင္ျမင့္သူ </v>
      </c>
      <c r="F53" s="118" t="str">
        <f>IFERROR(VLOOKUP($B53,COA!$A:$C,3,0),"-")</f>
        <v>ခရိုကၡနိ</v>
      </c>
      <c r="G53" s="118" t="s">
        <v>26</v>
      </c>
      <c r="H53" s="119"/>
      <c r="I53" s="119">
        <v>16800</v>
      </c>
      <c r="J53" s="119">
        <v>-16800</v>
      </c>
      <c r="K53" s="118"/>
      <c r="L53" s="117">
        <v>44500</v>
      </c>
    </row>
    <row r="54" spans="1:12" ht="27.95" customHeight="1">
      <c r="A54" s="122">
        <v>54</v>
      </c>
      <c r="B54" s="118" t="s">
        <v>32</v>
      </c>
      <c r="C54" s="111"/>
      <c r="D54" s="117">
        <v>44474</v>
      </c>
      <c r="E54" s="118" t="str">
        <f>IFERROR(VLOOKUP(B54,COA!A:C,2,0),"-")</f>
        <v xml:space="preserve">ေမာင္ျမင့္သူ </v>
      </c>
      <c r="F54" s="118" t="str">
        <f>IFERROR(VLOOKUP($B54,COA!$A:$C,3,0),"-")</f>
        <v>ခရိုကၡနိ</v>
      </c>
      <c r="G54" s="118" t="s">
        <v>26</v>
      </c>
      <c r="H54" s="119">
        <v>50000</v>
      </c>
      <c r="I54" s="119"/>
      <c r="J54" s="119">
        <v>50000</v>
      </c>
      <c r="K54" s="118"/>
      <c r="L54" s="117">
        <v>44500</v>
      </c>
    </row>
    <row r="55" spans="1:12" ht="27.95" customHeight="1">
      <c r="A55" s="122">
        <v>55</v>
      </c>
      <c r="B55" s="118" t="s">
        <v>28</v>
      </c>
      <c r="C55" s="111"/>
      <c r="D55" s="117">
        <v>44490</v>
      </c>
      <c r="E55" s="118" t="str">
        <f>IFERROR(VLOOKUP(B55,COA!A:C,2,0),"-")</f>
        <v>ကိုကိုင္ဇာေဌး</v>
      </c>
      <c r="F55" s="118" t="str">
        <f>IFERROR(VLOOKUP($B55,COA!$A:$C,3,0),"-")</f>
        <v>ဝါးေသာက္</v>
      </c>
      <c r="G55" s="118" t="s">
        <v>26</v>
      </c>
      <c r="H55" s="119"/>
      <c r="I55" s="119">
        <v>6700</v>
      </c>
      <c r="J55" s="119">
        <v>-6700</v>
      </c>
      <c r="K55" s="118"/>
      <c r="L55" s="117">
        <v>44490</v>
      </c>
    </row>
    <row r="56" spans="1:12" ht="27.95" customHeight="1">
      <c r="A56" s="122">
        <v>56</v>
      </c>
      <c r="B56" s="118" t="s">
        <v>32</v>
      </c>
      <c r="C56" s="111"/>
      <c r="D56" s="117">
        <v>44494</v>
      </c>
      <c r="E56" s="118" t="str">
        <f>IFERROR(VLOOKUP(B56,COA!A:C,2,0),"-")</f>
        <v xml:space="preserve">ေမာင္ျမင့္သူ </v>
      </c>
      <c r="F56" s="118" t="str">
        <f>IFERROR(VLOOKUP($B56,COA!$A:$C,3,0),"-")</f>
        <v>ခရိုကၡနိ</v>
      </c>
      <c r="G56" s="118" t="s">
        <v>26</v>
      </c>
      <c r="H56" s="119"/>
      <c r="I56" s="119">
        <v>50000</v>
      </c>
      <c r="J56" s="119">
        <v>-50000</v>
      </c>
      <c r="K56" s="118"/>
      <c r="L56" s="117">
        <v>44494</v>
      </c>
    </row>
    <row r="57" spans="1:12" ht="27.95" customHeight="1">
      <c r="A57" s="122">
        <v>57</v>
      </c>
      <c r="B57" s="118" t="s">
        <v>33</v>
      </c>
      <c r="C57" s="111"/>
      <c r="D57" s="117">
        <v>44517</v>
      </c>
      <c r="E57" s="118" t="str">
        <f>IFERROR(VLOOKUP(B57,COA!A:C,2,0),"-")</f>
        <v xml:space="preserve">ဦးေဇာ္ေထြး </v>
      </c>
      <c r="F57" s="118" t="str">
        <f>IFERROR(VLOOKUP($B57,COA!$A:$C,3,0),"-")</f>
        <v>သဲကုန္းတန္း</v>
      </c>
      <c r="G57" s="118" t="s">
        <v>26</v>
      </c>
      <c r="H57" s="119"/>
      <c r="I57" s="119">
        <v>11000</v>
      </c>
      <c r="J57" s="119">
        <v>-11000</v>
      </c>
      <c r="K57" s="118"/>
      <c r="L57" s="117">
        <v>44517</v>
      </c>
    </row>
    <row r="58" spans="1:12" ht="27.95" customHeight="1">
      <c r="A58" s="122">
        <v>58</v>
      </c>
      <c r="B58" s="118" t="s">
        <v>29</v>
      </c>
      <c r="C58" s="111"/>
      <c r="D58" s="117">
        <v>44512</v>
      </c>
      <c r="E58" s="118" t="str">
        <f>IFERROR(VLOOKUP(B58,COA!A:C,2,0),"-")</f>
        <v xml:space="preserve">ကိုေက်ာ္စိုး </v>
      </c>
      <c r="F58" s="118" t="str">
        <f>IFERROR(VLOOKUP($B58,COA!$A:$C,3,0),"-")</f>
        <v>ဝါးေသာက္</v>
      </c>
      <c r="G58" s="118" t="s">
        <v>26</v>
      </c>
      <c r="H58" s="119"/>
      <c r="I58" s="119">
        <v>1800</v>
      </c>
      <c r="J58" s="119">
        <v>-1800</v>
      </c>
      <c r="K58" s="118"/>
      <c r="L58" s="117">
        <v>44512</v>
      </c>
    </row>
    <row r="59" spans="1:12" ht="27.95" customHeight="1">
      <c r="A59" s="122">
        <v>59</v>
      </c>
      <c r="B59" s="118" t="s">
        <v>25</v>
      </c>
      <c r="C59" s="111"/>
      <c r="D59" s="117">
        <v>44534</v>
      </c>
      <c r="E59" s="118" t="str">
        <f>IFERROR(VLOOKUP(B59,COA!A:C,2,0),"-")</f>
        <v xml:space="preserve">ကိုခ်စ္ေက်ာ္သူ </v>
      </c>
      <c r="F59" s="118" t="str">
        <f>IFERROR(VLOOKUP($B59,COA!$A:$C,3,0),"-")</f>
        <v>ဝါးေသာက္</v>
      </c>
      <c r="G59" s="118" t="s">
        <v>26</v>
      </c>
      <c r="H59" s="119"/>
      <c r="I59" s="119">
        <v>14000</v>
      </c>
      <c r="J59" s="119">
        <v>-14000</v>
      </c>
      <c r="K59" s="118"/>
      <c r="L59" s="117">
        <v>44539</v>
      </c>
    </row>
    <row r="60" spans="1:12" ht="27.95" customHeight="1">
      <c r="A60" s="122">
        <v>60</v>
      </c>
      <c r="B60" s="118" t="s">
        <v>32</v>
      </c>
      <c r="C60" s="111"/>
      <c r="D60" s="117">
        <v>44534</v>
      </c>
      <c r="E60" s="118" t="str">
        <f>IFERROR(VLOOKUP(B60,COA!A:C,2,0),"-")</f>
        <v xml:space="preserve">ေမာင္ျမင့္သူ </v>
      </c>
      <c r="F60" s="118" t="str">
        <f>IFERROR(VLOOKUP($B60,COA!$A:$C,3,0),"-")</f>
        <v>ခရိုကၡနိ</v>
      </c>
      <c r="G60" s="118" t="s">
        <v>26</v>
      </c>
      <c r="H60" s="119">
        <v>5000</v>
      </c>
      <c r="I60" s="119"/>
      <c r="J60" s="119">
        <v>5000</v>
      </c>
      <c r="K60" s="118"/>
      <c r="L60" s="117">
        <v>44534</v>
      </c>
    </row>
    <row r="61" spans="1:12" ht="27.95" customHeight="1">
      <c r="A61" s="122">
        <v>61</v>
      </c>
      <c r="B61" s="118" t="s">
        <v>30</v>
      </c>
      <c r="C61" s="111"/>
      <c r="D61" s="117">
        <v>44536</v>
      </c>
      <c r="E61" s="118" t="str">
        <f>IFERROR(VLOOKUP(B61,COA!A:C,2,0),"-")</f>
        <v>ကိုသန္႔ဇင္</v>
      </c>
      <c r="F61" s="118" t="str">
        <f>IFERROR(VLOOKUP($B61,COA!$A:$C,3,0),"-")</f>
        <v>ဝါးေသာက္</v>
      </c>
      <c r="G61" s="118" t="s">
        <v>26</v>
      </c>
      <c r="H61" s="119">
        <v>400</v>
      </c>
      <c r="I61" s="119"/>
      <c r="J61" s="119">
        <v>400</v>
      </c>
      <c r="K61" s="118"/>
      <c r="L61" s="117">
        <v>44536</v>
      </c>
    </row>
    <row r="62" spans="1:12" ht="27.95" customHeight="1">
      <c r="A62" s="122">
        <v>62</v>
      </c>
      <c r="B62" s="118" t="s">
        <v>30</v>
      </c>
      <c r="C62" s="111"/>
      <c r="D62" s="117">
        <v>44541</v>
      </c>
      <c r="E62" s="118" t="str">
        <f>IFERROR(VLOOKUP(B62,COA!A:C,2,0),"-")</f>
        <v>ကိုသန္႔ဇင္</v>
      </c>
      <c r="F62" s="118" t="str">
        <f>IFERROR(VLOOKUP($B62,COA!$A:$C,3,0),"-")</f>
        <v>ဝါးေသာက္</v>
      </c>
      <c r="G62" s="118" t="s">
        <v>26</v>
      </c>
      <c r="H62" s="119"/>
      <c r="I62" s="119">
        <v>400</v>
      </c>
      <c r="J62" s="119">
        <v>-400</v>
      </c>
      <c r="K62" s="118"/>
      <c r="L62" s="117">
        <v>44541</v>
      </c>
    </row>
    <row r="63" spans="1:12" ht="27.95" customHeight="1">
      <c r="A63" s="122">
        <v>63</v>
      </c>
      <c r="B63" s="118" t="s">
        <v>27</v>
      </c>
      <c r="C63" s="111"/>
      <c r="D63" s="117">
        <v>44542</v>
      </c>
      <c r="E63" s="118" t="str">
        <f>IFERROR(VLOOKUP(B63,COA!A:C,2,0),"-")</f>
        <v xml:space="preserve">ကိုမ်ိဳးသူ </v>
      </c>
      <c r="F63" s="118" t="str">
        <f>IFERROR(VLOOKUP($B63,COA!$A:$C,3,0),"-")</f>
        <v>ဝါးေသာက္</v>
      </c>
      <c r="G63" s="118" t="s">
        <v>26</v>
      </c>
      <c r="H63" s="119"/>
      <c r="I63" s="119">
        <v>146800</v>
      </c>
      <c r="J63" s="119">
        <v>-146800</v>
      </c>
      <c r="K63" s="118"/>
      <c r="L63" s="117">
        <v>44542</v>
      </c>
    </row>
    <row r="64" spans="1:12" ht="27.95" customHeight="1">
      <c r="A64" s="122">
        <v>64</v>
      </c>
      <c r="B64" s="118" t="s">
        <v>28</v>
      </c>
      <c r="C64" s="111"/>
      <c r="D64" s="117">
        <v>44542</v>
      </c>
      <c r="E64" s="118" t="str">
        <f>IFERROR(VLOOKUP(B64,COA!A:C,2,0),"-")</f>
        <v>ကိုကိုင္ဇာေဌး</v>
      </c>
      <c r="F64" s="118" t="str">
        <f>IFERROR(VLOOKUP($B64,COA!$A:$C,3,0),"-")</f>
        <v>ဝါးေသာက္</v>
      </c>
      <c r="G64" s="118" t="s">
        <v>26</v>
      </c>
      <c r="H64" s="119">
        <v>4000</v>
      </c>
      <c r="I64" s="119"/>
      <c r="J64" s="119">
        <v>4000</v>
      </c>
      <c r="K64" s="118"/>
      <c r="L64" s="117">
        <v>44561</v>
      </c>
    </row>
    <row r="65" spans="1:12" ht="27.95" customHeight="1">
      <c r="A65" s="122">
        <v>65</v>
      </c>
      <c r="B65" s="118" t="s">
        <v>25</v>
      </c>
      <c r="C65" s="111"/>
      <c r="D65" s="117">
        <v>44546</v>
      </c>
      <c r="E65" s="118" t="str">
        <f>IFERROR(VLOOKUP(B65,COA!A:C,2,0),"-")</f>
        <v xml:space="preserve">ကိုခ်စ္ေက်ာ္သူ </v>
      </c>
      <c r="F65" s="118" t="str">
        <f>IFERROR(VLOOKUP($B65,COA!$A:$C,3,0),"-")</f>
        <v>ဝါးေသာက္</v>
      </c>
      <c r="G65" s="118" t="s">
        <v>26</v>
      </c>
      <c r="H65" s="119">
        <v>5500</v>
      </c>
      <c r="I65" s="119"/>
      <c r="J65" s="119">
        <v>5500</v>
      </c>
      <c r="K65" s="118"/>
      <c r="L65" s="117">
        <v>44561</v>
      </c>
    </row>
    <row r="66" spans="1:12" ht="27.95" customHeight="1">
      <c r="A66" s="122">
        <v>66</v>
      </c>
      <c r="B66" s="118" t="s">
        <v>25</v>
      </c>
      <c r="C66" s="111"/>
      <c r="D66" s="117">
        <v>44547</v>
      </c>
      <c r="E66" s="118" t="str">
        <f>IFERROR(VLOOKUP(B66,COA!A:C,2,0),"-")</f>
        <v xml:space="preserve">ကိုခ်စ္ေက်ာ္သူ </v>
      </c>
      <c r="F66" s="118" t="str">
        <f>IFERROR(VLOOKUP($B66,COA!$A:$C,3,0),"-")</f>
        <v>ဝါးေသာက္</v>
      </c>
      <c r="G66" s="118" t="s">
        <v>26</v>
      </c>
      <c r="H66" s="119"/>
      <c r="I66" s="119">
        <v>5500</v>
      </c>
      <c r="J66" s="119">
        <v>-5500</v>
      </c>
      <c r="K66" s="118"/>
      <c r="L66" s="117">
        <v>44547</v>
      </c>
    </row>
    <row r="67" spans="1:12" ht="27.95" customHeight="1">
      <c r="A67" s="122">
        <v>67</v>
      </c>
      <c r="B67" s="118" t="s">
        <v>29</v>
      </c>
      <c r="C67" s="111"/>
      <c r="D67" s="117">
        <v>44547</v>
      </c>
      <c r="E67" s="118" t="str">
        <f>IFERROR(VLOOKUP(B67,COA!A:C,2,0),"-")</f>
        <v xml:space="preserve">ကိုေက်ာ္စိုး </v>
      </c>
      <c r="F67" s="118" t="str">
        <f>IFERROR(VLOOKUP($B67,COA!$A:$C,3,0),"-")</f>
        <v>ဝါးေသာက္</v>
      </c>
      <c r="G67" s="118" t="s">
        <v>26</v>
      </c>
      <c r="H67" s="119">
        <v>2500</v>
      </c>
      <c r="I67" s="119"/>
      <c r="J67" s="119">
        <v>2500</v>
      </c>
      <c r="K67" s="118"/>
      <c r="L67" s="117">
        <v>44560</v>
      </c>
    </row>
    <row r="68" spans="1:12" ht="27.95" customHeight="1">
      <c r="A68" s="122">
        <v>68</v>
      </c>
      <c r="B68" s="118" t="s">
        <v>32</v>
      </c>
      <c r="C68" s="111"/>
      <c r="D68" s="117">
        <v>44545</v>
      </c>
      <c r="E68" s="118" t="str">
        <f>IFERROR(VLOOKUP(B68,COA!A:C,2,0),"-")</f>
        <v xml:space="preserve">ေမာင္ျမင့္သူ </v>
      </c>
      <c r="F68" s="118" t="str">
        <f>IFERROR(VLOOKUP($B68,COA!$A:$C,3,0),"-")</f>
        <v>ခရိုကၡနိ</v>
      </c>
      <c r="G68" s="118" t="s">
        <v>26</v>
      </c>
      <c r="H68" s="119"/>
      <c r="I68" s="119">
        <v>5000</v>
      </c>
      <c r="J68" s="119">
        <v>-5000</v>
      </c>
      <c r="K68" s="118"/>
      <c r="L68" s="117">
        <v>44561</v>
      </c>
    </row>
    <row r="69" spans="1:12" ht="27.95" customHeight="1">
      <c r="A69" s="122">
        <v>69</v>
      </c>
      <c r="B69" s="118" t="s">
        <v>29</v>
      </c>
      <c r="C69" s="111"/>
      <c r="D69" s="117">
        <v>44548</v>
      </c>
      <c r="E69" s="118" t="str">
        <f>IFERROR(VLOOKUP(B69,COA!A:C,2,0),"-")</f>
        <v xml:space="preserve">ကိုေက်ာ္စိုး </v>
      </c>
      <c r="F69" s="118" t="str">
        <f>IFERROR(VLOOKUP($B69,COA!$A:$C,3,0),"-")</f>
        <v>ဝါးေသာက္</v>
      </c>
      <c r="G69" s="118" t="s">
        <v>26</v>
      </c>
      <c r="H69" s="119"/>
      <c r="I69" s="119">
        <v>2500</v>
      </c>
      <c r="J69" s="119">
        <v>-2500</v>
      </c>
      <c r="K69" s="118"/>
      <c r="L69" s="117">
        <v>44560</v>
      </c>
    </row>
    <row r="70" spans="1:12" ht="27.95" customHeight="1">
      <c r="A70" s="122">
        <v>70</v>
      </c>
      <c r="B70" s="118" t="s">
        <v>32</v>
      </c>
      <c r="C70" s="111"/>
      <c r="D70" s="117">
        <v>44561</v>
      </c>
      <c r="E70" s="118" t="str">
        <f>IFERROR(VLOOKUP(B70,COA!A:C,2,0),"-")</f>
        <v xml:space="preserve">ေမာင္ျမင့္သူ </v>
      </c>
      <c r="F70" s="118" t="str">
        <f>IFERROR(VLOOKUP($B70,COA!$A:$C,3,0),"-")</f>
        <v>ခရိုကၡနိ</v>
      </c>
      <c r="G70" s="118" t="s">
        <v>26</v>
      </c>
      <c r="H70" s="119">
        <v>52400</v>
      </c>
      <c r="I70" s="119"/>
      <c r="J70" s="119">
        <v>52400</v>
      </c>
      <c r="K70" s="118"/>
      <c r="L70" s="117">
        <v>44561</v>
      </c>
    </row>
    <row r="71" spans="1:12" ht="27.95" customHeight="1">
      <c r="A71" s="122">
        <v>71</v>
      </c>
      <c r="B71" s="118" t="s">
        <v>29</v>
      </c>
      <c r="C71" s="111"/>
      <c r="D71" s="117">
        <v>44551</v>
      </c>
      <c r="E71" s="118" t="str">
        <f>IFERROR(VLOOKUP(B71,COA!A:C,2,0),"-")</f>
        <v xml:space="preserve">ကိုေက်ာ္စိုး </v>
      </c>
      <c r="F71" s="118" t="str">
        <f>IFERROR(VLOOKUP($B71,COA!$A:$C,3,0),"-")</f>
        <v>ဝါးေသာက္</v>
      </c>
      <c r="G71" s="118" t="s">
        <v>26</v>
      </c>
      <c r="H71" s="119">
        <v>10000</v>
      </c>
      <c r="I71" s="119"/>
      <c r="J71" s="119">
        <v>10000</v>
      </c>
      <c r="K71" s="118"/>
      <c r="L71" s="117">
        <v>44561</v>
      </c>
    </row>
    <row r="72" spans="1:12" ht="27.95" customHeight="1">
      <c r="A72" s="122">
        <v>72</v>
      </c>
      <c r="B72" s="118" t="s">
        <v>25</v>
      </c>
      <c r="C72" s="111"/>
      <c r="D72" s="117">
        <v>44552</v>
      </c>
      <c r="E72" s="118" t="str">
        <f>IFERROR(VLOOKUP(B72,COA!A:C,2,0),"-")</f>
        <v xml:space="preserve">ကိုခ်စ္ေက်ာ္သူ </v>
      </c>
      <c r="F72" s="118" t="str">
        <f>IFERROR(VLOOKUP($B72,COA!$A:$C,3,0),"-")</f>
        <v>ဝါးေသာက္</v>
      </c>
      <c r="G72" s="118" t="s">
        <v>26</v>
      </c>
      <c r="H72" s="119">
        <v>13500</v>
      </c>
      <c r="I72" s="119"/>
      <c r="J72" s="119">
        <v>13500</v>
      </c>
      <c r="K72" s="118"/>
      <c r="L72" s="117">
        <v>44561</v>
      </c>
    </row>
    <row r="73" spans="1:12" ht="27.95" customHeight="1">
      <c r="A73" s="122">
        <v>73</v>
      </c>
      <c r="B73" s="118" t="s">
        <v>29</v>
      </c>
      <c r="C73" s="111"/>
      <c r="D73" s="117">
        <v>44553</v>
      </c>
      <c r="E73" s="118" t="str">
        <f>IFERROR(VLOOKUP(B73,COA!A:C,2,0),"-")</f>
        <v xml:space="preserve">ကိုေက်ာ္စိုး </v>
      </c>
      <c r="F73" s="118" t="str">
        <f>IFERROR(VLOOKUP($B73,COA!$A:$C,3,0),"-")</f>
        <v>ဝါးေသာက္</v>
      </c>
      <c r="G73" s="118" t="s">
        <v>26</v>
      </c>
      <c r="H73" s="119">
        <v>1000</v>
      </c>
      <c r="I73" s="119"/>
      <c r="J73" s="119">
        <v>1000</v>
      </c>
      <c r="K73" s="118"/>
      <c r="L73" s="117">
        <v>44561</v>
      </c>
    </row>
    <row r="74" spans="1:12" ht="27.95" customHeight="1">
      <c r="A74" s="67">
        <v>74</v>
      </c>
      <c r="B74" s="38" t="s">
        <v>32</v>
      </c>
      <c r="D74" s="50">
        <v>44555</v>
      </c>
      <c r="E74" s="15" t="str">
        <f>IFERROR(VLOOKUP(B74,COA!A:C,2,0),"-")</f>
        <v xml:space="preserve">ေမာင္ျမင့္သူ </v>
      </c>
      <c r="F74" s="15" t="str">
        <f>IFERROR(VLOOKUP($B74,COA!$A:$C,3,0),"-")</f>
        <v>ခရိုကၡနိ</v>
      </c>
      <c r="G74" s="38" t="s">
        <v>26</v>
      </c>
      <c r="I74" s="59">
        <v>52400</v>
      </c>
      <c r="J74" s="59">
        <v>-52400</v>
      </c>
      <c r="L74" s="61">
        <v>44561</v>
      </c>
    </row>
    <row r="75" spans="1:12" ht="27.95" customHeight="1">
      <c r="A75" s="67">
        <v>75</v>
      </c>
      <c r="B75" s="38" t="s">
        <v>29</v>
      </c>
      <c r="D75" s="50">
        <v>44556</v>
      </c>
      <c r="E75" s="15" t="str">
        <f>IFERROR(VLOOKUP(B75,COA!A:C,2,0),"-")</f>
        <v xml:space="preserve">ကိုေက်ာ္စိုး </v>
      </c>
      <c r="F75" s="15" t="str">
        <f>IFERROR(VLOOKUP($B75,COA!$A:$C,3,0),"-")</f>
        <v>ဝါးေသာက္</v>
      </c>
      <c r="G75" s="38" t="s">
        <v>26</v>
      </c>
      <c r="I75" s="59">
        <v>10000</v>
      </c>
      <c r="J75" s="59">
        <v>-10000</v>
      </c>
      <c r="L75" s="61">
        <v>44561</v>
      </c>
    </row>
    <row r="76" spans="1:12" ht="27.95" customHeight="1">
      <c r="A76" s="67">
        <v>76</v>
      </c>
      <c r="B76" s="38" t="s">
        <v>29</v>
      </c>
      <c r="D76" s="50">
        <v>44557</v>
      </c>
      <c r="E76" s="15" t="str">
        <f>IFERROR(VLOOKUP(B76,COA!A:C,2,0),"-")</f>
        <v xml:space="preserve">ကိုေက်ာ္စိုး </v>
      </c>
      <c r="F76" s="15" t="str">
        <f>IFERROR(VLOOKUP($B76,COA!$A:$C,3,0),"-")</f>
        <v>ဝါးေသာက္</v>
      </c>
      <c r="G76" s="38" t="s">
        <v>26</v>
      </c>
      <c r="H76" s="59">
        <v>7000</v>
      </c>
      <c r="J76" s="59">
        <v>7000</v>
      </c>
      <c r="L76" s="61">
        <v>44561</v>
      </c>
    </row>
    <row r="77" spans="1:12" ht="27.95" customHeight="1">
      <c r="A77" s="67">
        <v>77</v>
      </c>
      <c r="B77" s="38" t="s">
        <v>32</v>
      </c>
      <c r="D77" s="50">
        <v>44558</v>
      </c>
      <c r="E77" s="15" t="str">
        <f>IFERROR(VLOOKUP(B77,COA!A:C,2,0),"-")</f>
        <v xml:space="preserve">ေမာင္ျမင့္သူ </v>
      </c>
      <c r="F77" s="15" t="str">
        <f>IFERROR(VLOOKUP($B77,COA!$A:$C,3,0),"-")</f>
        <v>ခရိုကၡနိ</v>
      </c>
      <c r="G77" s="38" t="s">
        <v>26</v>
      </c>
      <c r="H77" s="59">
        <v>7000</v>
      </c>
      <c r="J77" s="59">
        <v>7000</v>
      </c>
      <c r="L77" s="61">
        <v>44561</v>
      </c>
    </row>
    <row r="78" spans="1:12" ht="27.95" customHeight="1">
      <c r="E78" s="15" t="str">
        <f>IFERROR(VLOOKUP(B78,COA!A:C,2,0),"-")</f>
        <v>-</v>
      </c>
      <c r="F78" s="15" t="str">
        <f>IFERROR(VLOOKUP($B78,COA!$A:$C,3,0),"-")</f>
        <v>-</v>
      </c>
    </row>
    <row r="79" spans="1:12" ht="27.95" customHeight="1">
      <c r="E79" s="15" t="str">
        <f>IFERROR(VLOOKUP(B79,COA!A:C,2,0),"-")</f>
        <v>-</v>
      </c>
      <c r="F79" s="15" t="str">
        <f>IFERROR(VLOOKUP($B79,COA!$A:$C,3,0),"-")</f>
        <v>-</v>
      </c>
    </row>
    <row r="80" spans="1:12" ht="27.95" customHeight="1">
      <c r="E80" s="15" t="str">
        <f>IFERROR(VLOOKUP(B80,COA!A:C,2,0),"-")</f>
        <v>-</v>
      </c>
      <c r="F80" s="15" t="str">
        <f>IFERROR(VLOOKUP($B80,COA!$A:$C,3,0),"-")</f>
        <v>-</v>
      </c>
    </row>
    <row r="81" spans="5:6" ht="27.95" customHeight="1">
      <c r="E81" s="15" t="str">
        <f>IFERROR(VLOOKUP(B81,COA!A:C,2,0),"-")</f>
        <v>-</v>
      </c>
      <c r="F81" s="15" t="str">
        <f>IFERROR(VLOOKUP($B81,COA!$A:$C,3,0),"-")</f>
        <v>-</v>
      </c>
    </row>
    <row r="82" spans="5:6" ht="27.95" customHeight="1">
      <c r="E82" s="15" t="str">
        <f>IFERROR(VLOOKUP(B82,COA!A:C,2,0),"-")</f>
        <v>-</v>
      </c>
      <c r="F82" s="15" t="str">
        <f>IFERROR(VLOOKUP($B82,COA!$A:$C,3,0),"-")</f>
        <v>-</v>
      </c>
    </row>
    <row r="83" spans="5:6" ht="27.95" customHeight="1">
      <c r="E83" s="15" t="str">
        <f>IFERROR(VLOOKUP(B83,COA!A:C,2,0),"-")</f>
        <v>-</v>
      </c>
      <c r="F83" s="15" t="str">
        <f>IFERROR(VLOOKUP($B83,COA!$A:$C,3,0),"-")</f>
        <v>-</v>
      </c>
    </row>
    <row r="84" spans="5:6" ht="27.95" customHeight="1">
      <c r="E84" s="15" t="str">
        <f>IFERROR(VLOOKUP(B84,COA!A:C,2,0),"-")</f>
        <v>-</v>
      </c>
      <c r="F84" s="15" t="str">
        <f>IFERROR(VLOOKUP($B84,COA!$A:$C,3,0),"-")</f>
        <v>-</v>
      </c>
    </row>
    <row r="85" spans="5:6" ht="27.95" customHeight="1">
      <c r="E85" s="15" t="str">
        <f>IFERROR(VLOOKUP(B85,COA!A:C,2,0),"-")</f>
        <v>-</v>
      </c>
      <c r="F85" s="15" t="str">
        <f>IFERROR(VLOOKUP($B85,COA!$A:$C,3,0),"-")</f>
        <v>-</v>
      </c>
    </row>
    <row r="86" spans="5:6" ht="27.95" customHeight="1">
      <c r="E86" s="15" t="str">
        <f>IFERROR(VLOOKUP(B86,COA!A:C,2,0),"-")</f>
        <v>-</v>
      </c>
      <c r="F86" s="15" t="str">
        <f>IFERROR(VLOOKUP($B86,COA!$A:$C,3,0),"-")</f>
        <v>-</v>
      </c>
    </row>
    <row r="87" spans="5:6" ht="27.95" customHeight="1">
      <c r="E87" s="15" t="str">
        <f>IFERROR(VLOOKUP(B87,COA!A:C,2,0),"-")</f>
        <v>-</v>
      </c>
      <c r="F87" s="15" t="str">
        <f>IFERROR(VLOOKUP($B87,COA!$A:$C,3,0),"-")</f>
        <v>-</v>
      </c>
    </row>
    <row r="88" spans="5:6" ht="27.95" customHeight="1">
      <c r="E88" s="15" t="str">
        <f>IFERROR(VLOOKUP(B88,COA!A:C,2,0),"-")</f>
        <v>-</v>
      </c>
      <c r="F88" s="15" t="str">
        <f>IFERROR(VLOOKUP($B88,COA!$A:$C,3,0),"-")</f>
        <v>-</v>
      </c>
    </row>
    <row r="89" spans="5:6" ht="27.95" customHeight="1">
      <c r="E89" s="15" t="str">
        <f>IFERROR(VLOOKUP(B89,COA!A:C,2,0),"-")</f>
        <v>-</v>
      </c>
      <c r="F89" s="15" t="str">
        <f>IFERROR(VLOOKUP($B89,COA!$A:$C,3,0),"-")</f>
        <v>-</v>
      </c>
    </row>
    <row r="90" spans="5:6" ht="27.95" customHeight="1">
      <c r="E90" s="15" t="str">
        <f>IFERROR(VLOOKUP(B90,COA!A:C,2,0),"-")</f>
        <v>-</v>
      </c>
      <c r="F90" s="15" t="str">
        <f>IFERROR(VLOOKUP($B90,COA!$A:$C,3,0),"-")</f>
        <v>-</v>
      </c>
    </row>
    <row r="91" spans="5:6" ht="27.95" customHeight="1">
      <c r="E91" s="15" t="str">
        <f>IFERROR(VLOOKUP(B91,COA!A:C,2,0),"-")</f>
        <v>-</v>
      </c>
      <c r="F91" s="15" t="str">
        <f>IFERROR(VLOOKUP($B91,COA!$A:$C,3,0),"-")</f>
        <v>-</v>
      </c>
    </row>
    <row r="92" spans="5:6" ht="27.95" customHeight="1">
      <c r="E92" s="15" t="str">
        <f>IFERROR(VLOOKUP(B92,COA!A:C,2,0),"-")</f>
        <v>-</v>
      </c>
      <c r="F92" s="15" t="str">
        <f>IFERROR(VLOOKUP($B92,COA!$A:$C,3,0),"-")</f>
        <v>-</v>
      </c>
    </row>
    <row r="93" spans="5:6" ht="27.95" customHeight="1">
      <c r="E93" s="15" t="str">
        <f>IFERROR(VLOOKUP(B93,COA!A:C,2,0),"-")</f>
        <v>-</v>
      </c>
      <c r="F93" s="15" t="str">
        <f>IFERROR(VLOOKUP($B93,COA!$A:$C,3,0),"-")</f>
        <v>-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13"/>
  <sheetViews>
    <sheetView tabSelected="1" topLeftCell="A5" workbookViewId="0">
      <selection sqref="A1:D13"/>
    </sheetView>
  </sheetViews>
  <sheetFormatPr defaultRowHeight="31.5" customHeight="1"/>
  <cols>
    <col min="1" max="1" width="21.140625" style="38" bestFit="1" customWidth="1"/>
    <col min="2" max="2" width="21.28515625" style="3" customWidth="1"/>
    <col min="3" max="3" width="14.140625" style="85" customWidth="1"/>
    <col min="4" max="4" width="19.140625" style="86" bestFit="1" customWidth="1"/>
    <col min="5" max="5" width="0" style="3" hidden="1" customWidth="1"/>
    <col min="6" max="6" width="12.42578125" style="94" bestFit="1" customWidth="1"/>
    <col min="7" max="16384" width="9.140625" style="3"/>
  </cols>
  <sheetData>
    <row r="1" spans="1:5" ht="31.5" customHeight="1">
      <c r="A1" s="38" t="s">
        <v>65</v>
      </c>
    </row>
    <row r="2" spans="1:5" ht="31.5" customHeight="1">
      <c r="A2" s="89" t="s">
        <v>24</v>
      </c>
      <c r="B2" s="90" t="s">
        <v>9</v>
      </c>
      <c r="C2" s="91" t="s">
        <v>10</v>
      </c>
      <c r="D2" s="92" t="s">
        <v>17</v>
      </c>
      <c r="E2" s="88"/>
    </row>
    <row r="3" spans="1:5" ht="31.5" customHeight="1">
      <c r="A3" s="37" t="s">
        <v>25</v>
      </c>
      <c r="B3" s="81" t="str">
        <f>VLOOKUP($A3,' Data Save '!$B:$L,4,0)</f>
        <v xml:space="preserve">ကိုခ်စ္ေက်ာ္သူ </v>
      </c>
      <c r="C3" s="93" t="str">
        <f>VLOOKUP($A3,' Data Save '!$B:$L,5,0)</f>
        <v>ဝါးေသာက္</v>
      </c>
      <c r="D3" s="12">
        <f>SUMIF(' Data Save '!B:B,'Total Balance'!A3,' Data Save '!J:J)</f>
        <v>13500</v>
      </c>
    </row>
    <row r="4" spans="1:5" ht="31.5" customHeight="1">
      <c r="A4" s="37" t="s">
        <v>27</v>
      </c>
      <c r="B4" s="81" t="str">
        <f>VLOOKUP($A4,' Data Save '!$B:$L,4,0)</f>
        <v xml:space="preserve">ကိုမ်ိဳးသူ </v>
      </c>
      <c r="C4" s="93" t="str">
        <f>VLOOKUP($A4,' Data Save '!$B:$L,5,0)</f>
        <v>ဝါးေသာက္</v>
      </c>
      <c r="D4" s="12">
        <f>SUMIF(' Data Save '!B:B,'Total Balance'!A4,' Data Save '!J:J)</f>
        <v>0</v>
      </c>
    </row>
    <row r="5" spans="1:5" ht="31.5" customHeight="1">
      <c r="A5" s="37" t="s">
        <v>28</v>
      </c>
      <c r="B5" s="81" t="str">
        <f>VLOOKUP($A5,' Data Save '!$B:$L,4,0)</f>
        <v>ကိုကိုင္ဇာေဌး</v>
      </c>
      <c r="C5" s="93" t="str">
        <f>VLOOKUP($A5,' Data Save '!$B:$L,5,0)</f>
        <v>ဝါးေသာက္</v>
      </c>
      <c r="D5" s="12">
        <f>SUMIF(' Data Save '!B:B,'Total Balance'!A5,' Data Save '!J:J)</f>
        <v>4000</v>
      </c>
    </row>
    <row r="6" spans="1:5" ht="31.5" customHeight="1">
      <c r="A6" s="37" t="s">
        <v>29</v>
      </c>
      <c r="B6" s="81" t="str">
        <f>VLOOKUP($A6,' Data Save '!$B:$L,4,0)</f>
        <v xml:space="preserve">ကိုေက်ာ္စိုး </v>
      </c>
      <c r="C6" s="93" t="str">
        <f>VLOOKUP($A6,' Data Save '!$B:$L,5,0)</f>
        <v>ဝါးေသာက္</v>
      </c>
      <c r="D6" s="12">
        <f>SUMIF(' Data Save '!B:B,'Total Balance'!A6,' Data Save '!J:J)</f>
        <v>54600</v>
      </c>
    </row>
    <row r="7" spans="1:5" ht="31.5" customHeight="1">
      <c r="A7" s="37" t="s">
        <v>30</v>
      </c>
      <c r="B7" s="81" t="str">
        <f>VLOOKUP($A7,' Data Save '!$B:$L,4,0)</f>
        <v>ကိုသန္႔ဇင္</v>
      </c>
      <c r="C7" s="93" t="str">
        <f>VLOOKUP($A7,' Data Save '!$B:$L,5,0)</f>
        <v>ဝါးေသာက္</v>
      </c>
      <c r="D7" s="12">
        <f>SUMIF(' Data Save '!B:B,'Total Balance'!A7,' Data Save '!J:J)</f>
        <v>50400</v>
      </c>
    </row>
    <row r="8" spans="1:5" ht="31.5" customHeight="1">
      <c r="A8" s="37" t="s">
        <v>31</v>
      </c>
      <c r="B8" s="81" t="str">
        <f>VLOOKUP($A8,' Data Save '!$B:$L,4,0)</f>
        <v xml:space="preserve">ကိုတင္လွ </v>
      </c>
      <c r="C8" s="93" t="str">
        <f>VLOOKUP($A8,' Data Save '!$B:$L,5,0)</f>
        <v>မဝန္း</v>
      </c>
      <c r="D8" s="12">
        <f>SUMIF(' Data Save '!B:B,'Total Balance'!A8,' Data Save '!J:J)</f>
        <v>21700</v>
      </c>
    </row>
    <row r="9" spans="1:5" ht="31.5" customHeight="1">
      <c r="A9" s="37" t="s">
        <v>32</v>
      </c>
      <c r="B9" s="81" t="str">
        <f>VLOOKUP($A9,' Data Save '!$B:$L,4,0)</f>
        <v xml:space="preserve">ေမာင္ျမင့္သူ </v>
      </c>
      <c r="C9" s="93" t="str">
        <f>VLOOKUP($A9,' Data Save '!$B:$L,5,0)</f>
        <v>ခရိုကၡနိ</v>
      </c>
      <c r="D9" s="12">
        <f>SUMIF(' Data Save '!B:B,'Total Balance'!A9,' Data Save '!J:J)</f>
        <v>7000</v>
      </c>
    </row>
    <row r="10" spans="1:5" ht="31.5" customHeight="1">
      <c r="A10" s="37" t="s">
        <v>33</v>
      </c>
      <c r="B10" s="81" t="str">
        <f>VLOOKUP($A10,' Data Save '!$B:$L,4,0)</f>
        <v xml:space="preserve">ဦးေဇာ္ေထြး </v>
      </c>
      <c r="C10" s="93" t="str">
        <f>VLOOKUP($A10,' Data Save '!$B:$L,5,0)</f>
        <v>သဲကုန္းတန္း</v>
      </c>
      <c r="D10" s="12">
        <f>SUMIF(' Data Save '!B:B,'Total Balance'!A10,' Data Save '!J:J)</f>
        <v>0</v>
      </c>
    </row>
    <row r="12" spans="1:5" ht="31.5" customHeight="1" thickBot="1">
      <c r="C12" s="13" t="s">
        <v>64</v>
      </c>
      <c r="D12" s="87">
        <f>SUM(D3:D11)</f>
        <v>151200</v>
      </c>
    </row>
    <row r="13" spans="1:5" ht="31.5" customHeight="1" thickTop="1"/>
  </sheetData>
  <pageMargins left="0.7" right="0.7" top="0.75" bottom="0.75" header="0.3" footer="0.3"/>
  <pageSetup paperSize="9" fitToWidth="55" fitToHeight="8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4"/>
      <c r="I1" s="64"/>
      <c r="J1" s="64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4"/>
      <c r="I2" s="64"/>
      <c r="J2" s="64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4"/>
      <c r="I3" s="64"/>
      <c r="J3" s="64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4"/>
      <c r="I4" s="64"/>
      <c r="J4" s="64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4"/>
      <c r="I5" s="64"/>
      <c r="J5" s="64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4"/>
      <c r="I6" s="64"/>
      <c r="J6" s="64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4"/>
      <c r="I7" s="64"/>
      <c r="J7" s="64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4"/>
      <c r="I8" s="64"/>
      <c r="J8" s="64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5"/>
      <c r="I9" s="65"/>
      <c r="J9" s="65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ကိုကိုင္ဇာေဌး</v>
      </c>
      <c r="C10" s="42"/>
      <c r="D10" s="8" t="s">
        <v>8</v>
      </c>
      <c r="E10" s="49">
        <f>D33</f>
        <v>44376</v>
      </c>
      <c r="F10" s="34"/>
      <c r="G10" s="34"/>
      <c r="H10" s="64"/>
      <c r="I10" s="64"/>
      <c r="J10" s="64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ဝါးေသာက္</v>
      </c>
      <c r="C11" s="43"/>
      <c r="D11" s="8" t="s">
        <v>19</v>
      </c>
      <c r="E11" s="51">
        <v>39</v>
      </c>
      <c r="F11" s="34"/>
      <c r="G11" s="34"/>
      <c r="H11" s="64"/>
      <c r="I11" s="64"/>
      <c r="J11" s="64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84" t="str">
        <f>B33</f>
        <v>SPR003</v>
      </c>
      <c r="C12" s="44"/>
      <c r="D12" s="2"/>
      <c r="E12" s="60"/>
      <c r="F12" s="34"/>
      <c r="G12" s="34"/>
      <c r="H12" s="64"/>
      <c r="I12" s="64"/>
      <c r="J12" s="64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4"/>
      <c r="I13" s="64"/>
      <c r="J13" s="64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4"/>
      <c r="I14" s="64"/>
      <c r="J14" s="64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4"/>
      <c r="I15" s="64"/>
      <c r="J15" s="64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ေၾကြးဆပ္</v>
      </c>
      <c r="C16" s="18"/>
      <c r="D16" s="10"/>
      <c r="E16" s="5">
        <f>H33</f>
        <v>0</v>
      </c>
      <c r="F16" s="34"/>
      <c r="G16" s="34"/>
      <c r="H16" s="64"/>
      <c r="I16" s="64"/>
      <c r="J16" s="64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4"/>
      <c r="I17" s="64"/>
      <c r="J17" s="64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8"/>
      <c r="B18" s="128"/>
      <c r="C18" s="4"/>
      <c r="D18" s="8" t="s">
        <v>15</v>
      </c>
      <c r="E18" s="12">
        <f>I33</f>
        <v>10000</v>
      </c>
      <c r="F18" s="34"/>
      <c r="G18" s="34"/>
      <c r="H18" s="64"/>
      <c r="I18" s="64"/>
      <c r="J18" s="64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66">
        <f>E17-E18</f>
        <v>-10000</v>
      </c>
      <c r="F19" s="34"/>
      <c r="G19" s="34"/>
      <c r="H19" s="64"/>
      <c r="I19" s="64"/>
      <c r="J19" s="64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66">
        <f>SUMIF(' Data Save '!B:B,Print!B12,' Data Save '!J:J)-E19</f>
        <v>14000</v>
      </c>
      <c r="F20" s="34"/>
      <c r="G20" s="34"/>
      <c r="H20" s="64"/>
      <c r="I20" s="64"/>
      <c r="J20" s="64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4000</v>
      </c>
      <c r="F21" s="34"/>
      <c r="G21" s="34"/>
      <c r="H21" s="64"/>
      <c r="I21" s="64"/>
      <c r="J21" s="64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4"/>
      <c r="I22" s="64"/>
      <c r="J22" s="64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31">
        <f>IF(B1="Purchase",E21,"")</f>
        <v>4000</v>
      </c>
      <c r="B23" s="131"/>
      <c r="C23" s="130">
        <f>IF(B1="Purchase",L33,"")</f>
        <v>44376</v>
      </c>
      <c r="D23" s="130"/>
      <c r="E23" s="130"/>
      <c r="F23" s="34"/>
      <c r="G23" s="34"/>
      <c r="H23" s="64"/>
      <c r="I23" s="64"/>
      <c r="J23" s="64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4"/>
      <c r="I24" s="64"/>
      <c r="J24" s="64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4"/>
      <c r="I25" s="64"/>
      <c r="J25" s="64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4"/>
      <c r="I26" s="64"/>
      <c r="J26" s="64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4"/>
      <c r="I27" s="64"/>
      <c r="J27" s="64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9" t="s">
        <v>6</v>
      </c>
      <c r="B28" s="129"/>
      <c r="C28" s="129"/>
      <c r="D28" s="19" t="s">
        <v>4</v>
      </c>
      <c r="E28" s="19"/>
      <c r="F28" s="34"/>
      <c r="G28" s="34"/>
      <c r="H28" s="64"/>
      <c r="I28" s="64"/>
      <c r="J28" s="64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9" t="s">
        <v>7</v>
      </c>
      <c r="B29" s="129"/>
      <c r="C29" s="129"/>
      <c r="D29" s="19" t="s">
        <v>5</v>
      </c>
      <c r="E29" s="19"/>
      <c r="F29" s="34"/>
      <c r="G29" s="34"/>
      <c r="H29" s="64"/>
      <c r="I29" s="64"/>
      <c r="J29" s="64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4"/>
      <c r="I30" s="64"/>
      <c r="J30" s="64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4"/>
      <c r="I31" s="64"/>
      <c r="J31" s="64"/>
      <c r="S31" s="35"/>
    </row>
    <row r="32" spans="1:26" s="97" customFormat="1" ht="36" customHeight="1">
      <c r="A32" s="95">
        <v>1</v>
      </c>
      <c r="B32" s="95">
        <v>2</v>
      </c>
      <c r="C32" s="95">
        <v>3</v>
      </c>
      <c r="D32" s="95">
        <v>4</v>
      </c>
      <c r="E32" s="95">
        <v>5</v>
      </c>
      <c r="F32" s="95">
        <v>6</v>
      </c>
      <c r="G32" s="95">
        <v>7</v>
      </c>
      <c r="H32" s="96">
        <v>8</v>
      </c>
      <c r="I32" s="96">
        <v>9</v>
      </c>
      <c r="J32" s="96">
        <v>10</v>
      </c>
      <c r="K32" s="95">
        <v>11</v>
      </c>
      <c r="L32" s="95">
        <v>12</v>
      </c>
      <c r="M32" s="95">
        <v>13</v>
      </c>
      <c r="N32" s="95">
        <v>14</v>
      </c>
      <c r="O32" s="95">
        <v>15</v>
      </c>
      <c r="P32" s="95">
        <v>16</v>
      </c>
      <c r="Q32" s="95">
        <v>17</v>
      </c>
      <c r="R32" s="95">
        <v>18</v>
      </c>
      <c r="S32" s="95">
        <v>19</v>
      </c>
      <c r="T32" s="95">
        <v>20</v>
      </c>
      <c r="X32" s="98"/>
      <c r="Y32" s="98"/>
      <c r="Z32" s="98"/>
    </row>
    <row r="33" spans="1:20" ht="36" customHeight="1">
      <c r="A33" s="98"/>
      <c r="B33" s="99" t="str">
        <f>VLOOKUP(E11,' Data Save '!$A:$N,B32,0)</f>
        <v>SPR003</v>
      </c>
      <c r="C33" s="99">
        <f>VLOOKUP($E$11,' Data Save '!$A:$N,C32,0)</f>
        <v>0</v>
      </c>
      <c r="D33" s="100">
        <f>VLOOKUP($E$11,' Data Save '!$A:$N,D32,0)</f>
        <v>44376</v>
      </c>
      <c r="E33" s="99" t="str">
        <f>VLOOKUP($E$11,' Data Save '!$A:$N,E32,0)</f>
        <v>ကိုကိုင္ဇာေဌး</v>
      </c>
      <c r="F33" s="99" t="str">
        <f>VLOOKUP($E$11,' Data Save '!$A:$N,F32,0)</f>
        <v>ဝါးေသာက္</v>
      </c>
      <c r="G33" s="99" t="str">
        <f>VLOOKUP($E$11,' Data Save '!$A:$N,G32,0)</f>
        <v>ေၾကြးဆပ္</v>
      </c>
      <c r="H33" s="101">
        <f>VLOOKUP($E$11,' Data Save '!$A:$N,H32,0)</f>
        <v>0</v>
      </c>
      <c r="I33" s="101">
        <f>VLOOKUP($E$11,' Data Save '!$A:$N,I32,0)</f>
        <v>10000</v>
      </c>
      <c r="J33" s="101">
        <f>VLOOKUP($E$11,' Data Save '!$A:$N,J32,0)</f>
        <v>-10000</v>
      </c>
      <c r="K33" s="99">
        <f>VLOOKUP($E$11,' Data Save '!$A:$N,K32,0)</f>
        <v>0</v>
      </c>
      <c r="L33" s="100">
        <f>VLOOKUP($E$11,' Data Save '!$A:$N,L32,0)</f>
        <v>44376</v>
      </c>
      <c r="M33" s="99">
        <f>VLOOKUP($E$11,' Data Save '!$A:$N,M32,0)</f>
        <v>0</v>
      </c>
      <c r="N33" s="99">
        <f>VLOOKUP($E$11,' Data Save '!$A:$N,N32,0)</f>
        <v>0</v>
      </c>
      <c r="O33" s="99" t="e">
        <f>VLOOKUP($E$11,' Data Save '!$A:$N,O32,0)</f>
        <v>#REF!</v>
      </c>
      <c r="P33" s="99" t="e">
        <f>VLOOKUP($E$11,' Data Save '!$A:$N,P32,0)</f>
        <v>#REF!</v>
      </c>
      <c r="Q33" s="99" t="e">
        <f>VLOOKUP($E$11,' Data Save '!$A:$N,Q32,0)</f>
        <v>#REF!</v>
      </c>
      <c r="R33" s="98"/>
      <c r="S33" s="102"/>
      <c r="T33" s="98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COA</vt:lpstr>
      <vt:lpstr>Dashboard</vt:lpstr>
      <vt:lpstr> Data Save </vt:lpstr>
      <vt:lpstr>Total Balance</vt:lpstr>
      <vt:lpstr>Print</vt:lpstr>
      <vt:lpstr>Print!Print_Area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2022-01-01T06:34:11Z</cp:lastPrinted>
  <dcterms:created xsi:type="dcterms:W3CDTF">2020-05-10T22:03:17Z</dcterms:created>
  <dcterms:modified xsi:type="dcterms:W3CDTF">2022-01-01T06:34:28Z</dcterms:modified>
</cp:coreProperties>
</file>