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0" yWindow="0" windowWidth="20460" windowHeight="7245" activeTab="4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Print_Area" localSheetId="2">' Data Save '!#REF!</definedName>
    <definedName name="_xlnm.Print_Area" localSheetId="4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J5" i="46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D5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<sst xmlns="http://schemas.openxmlformats.org/spreadsheetml/2006/main" count="175" uniqueCount="66">
  <si>
    <t>Qty</t>
  </si>
  <si>
    <t>Price</t>
  </si>
  <si>
    <t>Amount</t>
  </si>
  <si>
    <t>Particular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</si>
  <si>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</si>
  <si>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</si>
  <si>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</si>
  <si>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</si>
  <si>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</si>
  <si>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</si>
  <si>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</si>
  <si>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</si>
  <si>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</si>
  <si>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</si>
  <si>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သင့္ေငြ</t>
  </si>
  <si>
    <t>ေပးေငြ</t>
  </si>
  <si>
    <t xml:space="preserve">စုစုေပါင္း </t>
  </si>
  <si>
    <t>က်န္ေငြစုစုေပါင္း</t>
  </si>
  <si>
    <t>S.No</t>
  </si>
  <si>
    <t>ေဘာက္ခ်ာနံပါတ္</t>
  </si>
  <si>
    <t>ဝါးေသာက္</t>
  </si>
  <si>
    <t>သဲကုန္းတန္း</t>
  </si>
  <si>
    <t>ေၾကြးဆပ္ေန႔စြဲ</t>
  </si>
  <si>
    <t>(8)ဦး ေၾကြးက်န္စာရင္း</t>
  </si>
  <si>
    <t>ဝယ္သူကုဒ္နံပါတ္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</si>
  <si>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</si>
  <si>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</si>
  <si>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</si>
  <si>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</si>
  <si>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</si>
  <si>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</si>
  <si>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</si>
  <si>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</si>
  <si>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</si>
  <si>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ကိုခ်စ္ေက်ာ္သူ </t>
  </si>
  <si>
    <t xml:space="preserve">ကိုမ်ိဳးသူ </t>
  </si>
  <si>
    <t>ကိုကိုင္ဇာေဌး</t>
  </si>
  <si>
    <t xml:space="preserve">ကိုေက်ာ္စိုး </t>
  </si>
  <si>
    <t>ကိုသန္႔ဇင္</t>
  </si>
  <si>
    <t xml:space="preserve">ကိုတင္လွ </t>
  </si>
  <si>
    <t>မဝန္း</t>
  </si>
  <si>
    <t xml:space="preserve">ေမာင္ျမင့္သူ </t>
  </si>
  <si>
    <t>ခရိုကၡနိ</t>
  </si>
  <si>
    <t xml:space="preserve">ဦးေဇာ္ေထြး </t>
  </si>
  <si>
    <t>Engine spare</t>
  </si>
  <si>
    <t>Purchase</t>
  </si>
  <si>
    <t>ယခင္က်န္ေငြ</t>
  </si>
  <si>
    <t>ကုဒ္နံပါတ္</t>
  </si>
  <si>
    <t>က်န္ေငြေပါင္း</t>
  </si>
  <si>
    <t>ယခုက်န္ေငြ</t>
  </si>
  <si>
    <t>Customer Name</t>
  </si>
  <si>
    <t>Customer Code</t>
  </si>
  <si>
    <t>Adds</t>
  </si>
  <si>
    <t>ေၾကြးက်န္စုစုေပါင္း</t>
  </si>
  <si>
    <t>Engine Spare</t>
  </si>
  <si>
    <t>ေငြလႊဲ</t>
  </si>
  <si>
    <t>ေရေမာ္တာ</t>
  </si>
  <si>
    <t>ေရျမွဳပ္ပန္႔</t>
  </si>
  <si>
    <t>Sales2</t>
  </si>
  <si>
    <t>နတ္</t>
  </si>
  <si>
    <t>SPR009</t>
  </si>
  <si>
    <t>ဦးသန္းဦး</t>
  </si>
  <si>
    <t>လက္ခုတ္ကုန္း</t>
  </si>
  <si>
    <t>ေၾကြးဆပ္</t>
  </si>
  <si>
    <t>Total</t>
  </si>
  <si>
    <t>(8) ဦး ရရန္ေၾကြးစာရင္း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</si>
</sst>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11"/>
      <color theme="9" tint="-0.499984740745262"/>
      <name val="Zawgyi-One"/>
      <family val="2"/>
    </font>
    <font>
      <b/>
      <sz val="11"/>
      <color theme="0"/>
      <name val="Zawgyi-One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164" fontId="4" fillId="4" borderId="11" xfId="1" applyNumberFormat="1" applyFont="1" applyFill="1" applyBorder="1" applyAlignment="1">
      <alignment horizontal="center" vertical="center" wrapText="1"/>
    </xf>
    <xf numFmtId="169" fontId="1" fillId="2" borderId="0" xfId="1" applyNumberFormat="1" applyFont="1" applyFill="1" applyBorder="1" applyAlignment="1">
      <alignment horizontal="center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4" fillId="4" borderId="10" xfId="0" applyNumberFormat="1" applyFont="1" applyFill="1" applyBorder="1" applyAlignment="1">
      <alignment horizontal="center" vertical="center" wrapText="1"/>
    </xf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4" fillId="4" borderId="11" xfId="1" applyNumberFormat="1" applyFont="1" applyFill="1" applyBorder="1" applyAlignment="1">
      <alignment horizontal="center" wrapText="1"/>
    </xf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167" fontId="4" fillId="4" borderId="10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169" fontId="1" fillId="11" borderId="0" xfId="0" applyNumberFormat="1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167" fontId="1" fillId="11" borderId="0" xfId="0" applyNumberFormat="1" applyFont="1" applyFill="1" applyAlignment="1">
      <alignment horizontal="center"/>
    </xf>
    <xf numFmtId="0" fontId="1" fillId="11" borderId="0" xfId="0" applyFont="1" applyFill="1" applyBorder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7" fontId="1" fillId="11" borderId="0" xfId="0" applyNumberFormat="1" applyFont="1" applyFill="1" applyBorder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.75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5" t="s">
        <v>51</v>
      </c>
      <c r="B1" s="85" t="s">
        <v>50</v>
      </c>
      <c r="C1" s="85" t="s">
        <v>52</v>
      </c>
    </row>
    <row r="2" spans="1:7">
      <c r="A2" s="86" t="s">
        <v>25</v>
      </c>
      <c r="B2" s="86" t="s">
        <v>34</v>
      </c>
      <c r="C2" s="86" t="s">
        <v>20</v>
      </c>
      <c r="G2" s="3" t="s">
        <v>26</v>
      </c>
    </row>
    <row r="3" spans="1:7">
      <c r="A3" s="86" t="s">
        <v>27</v>
      </c>
      <c r="B3" s="86" t="s">
        <v>35</v>
      </c>
      <c r="C3" s="86" t="s">
        <v>20</v>
      </c>
      <c r="G3" s="3" t="s">
        <v>54</v>
      </c>
    </row>
    <row r="4" spans="1:7">
      <c r="A4" s="86" t="s">
        <v>28</v>
      </c>
      <c r="B4" s="86" t="s">
        <v>36</v>
      </c>
      <c r="C4" s="86" t="s">
        <v>20</v>
      </c>
      <c r="G4" s="3" t="s">
        <v>55</v>
      </c>
    </row>
    <row r="5" spans="1:7">
      <c r="A5" s="86" t="s">
        <v>29</v>
      </c>
      <c r="B5" s="86" t="s">
        <v>37</v>
      </c>
      <c r="C5" s="86" t="s">
        <v>20</v>
      </c>
      <c r="G5" s="3" t="s">
        <v>56</v>
      </c>
    </row>
    <row r="6" spans="1:7">
      <c r="A6" s="86" t="s">
        <v>30</v>
      </c>
      <c r="B6" s="86" t="s">
        <v>38</v>
      </c>
      <c r="C6" s="86" t="s">
        <v>20</v>
      </c>
      <c r="G6" s="3" t="s">
        <v>57</v>
      </c>
    </row>
    <row r="7" spans="1:7">
      <c r="A7" s="86" t="s">
        <v>31</v>
      </c>
      <c r="B7" s="86" t="s">
        <v>39</v>
      </c>
      <c r="C7" s="86" t="s">
        <v>40</v>
      </c>
    </row>
    <row r="8" spans="1:7">
      <c r="A8" s="86" t="s">
        <v>32</v>
      </c>
      <c r="B8" s="86" t="s">
        <v>41</v>
      </c>
      <c r="C8" s="86" t="s">
        <v>42</v>
      </c>
    </row>
    <row r="9" spans="1:7">
      <c r="A9" s="86" t="s">
        <v>33</v>
      </c>
      <c r="B9" s="86" t="s">
        <v>43</v>
      </c>
      <c r="C9" s="86" t="s">
        <v>21</v>
      </c>
    </row>
    <row r="10" spans="1:7">
      <c r="A10" s="86" t="s">
        <v>60</v>
      </c>
      <c r="B10" s="86" t="s">
        <v>61</v>
      </c>
      <c r="C10" s="86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9"/>
  <sheetViews>
    <sheetView topLeftCell="B1" workbookViewId="0">
      <selection activeCell="D2" sqref="D2"/>
    </sheetView>
  </sheetViews>
  <sheetFormatPr defaultColWidth="8.7109375" defaultRowHeight="21.75"/>
  <cols>
    <col min="1" max="1" width="8.7109375" style="73"/>
    <col min="2" max="2" width="8.7109375" style="39"/>
    <col min="3" max="3" width="21.85546875" style="40" customWidth="1"/>
    <col min="4" max="4" width="25.42578125" style="41" customWidth="1"/>
    <col min="5" max="8" width="8.7109375" style="73"/>
    <col min="9" max="9" width="19.140625" style="73" bestFit="1" customWidth="1"/>
    <col min="10" max="10" width="15.28515625" style="73" bestFit="1" customWidth="1"/>
    <col min="11" max="11" width="17.85546875" style="73" customWidth="1"/>
    <col min="12" max="25" width="8.7109375" style="73"/>
    <col min="26" max="16384" width="8.7109375" style="39"/>
  </cols>
  <sheetData>
    <row r="1" spans="1:17" ht="33.75" thickBot="1">
      <c r="A1" s="75"/>
      <c r="B1" s="75"/>
      <c r="C1" s="76" t="s">
        <v>19</v>
      </c>
      <c r="D1" s="53">
        <v>43</v>
      </c>
      <c r="E1" s="75"/>
      <c r="F1" s="117" t="s">
        <v>23</v>
      </c>
      <c r="G1" s="118"/>
      <c r="H1" s="118"/>
      <c r="I1" s="118"/>
      <c r="J1" s="118"/>
      <c r="K1" s="119"/>
      <c r="L1" s="75"/>
      <c r="M1" s="75"/>
      <c r="N1" s="75"/>
      <c r="O1" s="75"/>
      <c r="P1" s="75"/>
      <c r="Q1" s="75"/>
    </row>
    <row r="2" spans="1:17" ht="22.5">
      <c r="A2" s="75"/>
      <c r="B2" s="75"/>
      <c r="C2" s="76" t="s">
        <v>24</v>
      </c>
      <c r="D2" s="53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ht="22.5" hidden="1">
      <c r="A3" s="75"/>
      <c r="B3" s="75"/>
      <c r="C3" s="76"/>
      <c r="D3" s="49">
        <v>44260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ht="22.5">
      <c r="A4" s="84" t="b">
        <f>Dashboard!D1=IF(B4="","",ROW(1:1))</f>
        <v>0</v>
      </c>
      <c r="B4" s="75"/>
      <c r="C4" s="76" t="s">
        <v>8</v>
      </c>
      <c r="D4" s="49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ht="22.5">
      <c r="A5" s="75"/>
      <c r="B5" s="75"/>
      <c r="C5" s="77" t="s">
        <v>9</v>
      </c>
      <c r="D5" s="37" t="str">
        <f>IFERROR(VLOOKUP(D2,COA!A:C,2,0),"-")</f>
        <v>-</v>
      </c>
      <c r="E5" s="75"/>
      <c r="F5" s="75"/>
      <c r="G5" s="75"/>
      <c r="H5" s="75"/>
      <c r="I5" s="89" t="s">
        <v>53</v>
      </c>
      <c r="J5" s="88">
        <f>SUM(' Data Save '!J2:J44)</f>
        <v>425300</v>
      </c>
      <c r="K5" s="75"/>
      <c r="L5" s="75"/>
      <c r="M5" s="75"/>
      <c r="N5" s="75"/>
      <c r="O5" s="75"/>
      <c r="P5" s="75"/>
      <c r="Q5" s="75"/>
    </row>
    <row r="6" spans="1:17" ht="22.5">
      <c r="A6" s="75"/>
      <c r="B6" s="75"/>
      <c r="C6" s="77" t="s">
        <v>10</v>
      </c>
      <c r="D6" s="37" t="str">
        <f>IFERROR(VLOOKUP(D2,COA!A:C,3,0),"-")</f>
        <v>-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2.5">
      <c r="A7" s="75"/>
      <c r="B7" s="75"/>
      <c r="C7" s="78" t="s">
        <v>13</v>
      </c>
      <c r="D7" s="37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</row>
    <row r="8" spans="1:17" ht="21.95" customHeight="1">
      <c r="A8" s="75"/>
      <c r="B8" s="75"/>
      <c r="C8" s="79" t="s">
        <v>14</v>
      </c>
      <c r="D8" s="9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</row>
    <row r="9" spans="1:17" ht="22.5">
      <c r="A9" s="75"/>
      <c r="B9" s="75"/>
      <c r="C9" s="79" t="s">
        <v>15</v>
      </c>
      <c r="D9" s="9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</row>
    <row r="10" spans="1:17" ht="22.5">
      <c r="A10" s="75"/>
      <c r="B10" s="75"/>
      <c r="C10" s="79" t="s">
        <v>17</v>
      </c>
      <c r="D10" s="9">
        <f>D8-D9</f>
        <v>0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</row>
    <row r="11" spans="1:17" ht="22.5" hidden="1">
      <c r="A11" s="75"/>
      <c r="B11" s="75"/>
      <c r="C11" s="79"/>
      <c r="D11" s="49">
        <v>44286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</row>
    <row r="12" spans="1:17" ht="22.5">
      <c r="A12" s="75"/>
      <c r="B12" s="75"/>
      <c r="C12" s="80" t="s">
        <v>22</v>
      </c>
      <c r="D12" s="49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</row>
    <row r="13" spans="1:17" s="74" customFormat="1">
      <c r="A13" s="75"/>
      <c r="B13" s="75"/>
      <c r="C13" s="81"/>
      <c r="D13" s="83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</row>
    <row r="14" spans="1:17" s="74" customFormat="1">
      <c r="A14" s="75"/>
      <c r="B14" s="75"/>
      <c r="C14" s="81"/>
      <c r="D14" s="83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</row>
    <row r="15" spans="1:17" s="74" customFormat="1">
      <c r="A15" s="75"/>
      <c r="B15" s="75"/>
      <c r="C15" s="81"/>
      <c r="D15" s="83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</row>
    <row r="16" spans="1:17" s="74" customFormat="1">
      <c r="A16" s="75"/>
      <c r="B16" s="75"/>
      <c r="C16" s="81"/>
      <c r="D16" s="82"/>
      <c r="E16" s="75"/>
      <c r="F16" s="75"/>
      <c r="G16" s="75"/>
      <c r="H16" s="75"/>
      <c r="I16" s="75"/>
      <c r="J16" s="82"/>
      <c r="K16" s="75"/>
      <c r="L16" s="75"/>
      <c r="M16" s="75"/>
      <c r="N16" s="75"/>
      <c r="O16" s="75"/>
      <c r="P16" s="75"/>
      <c r="Q16" s="75"/>
    </row>
    <row r="17" spans="1:17" s="74" customFormat="1">
      <c r="A17" s="75"/>
      <c r="B17" s="75"/>
      <c r="C17" s="81"/>
      <c r="D17" s="82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</row>
    <row r="18" spans="1:17" s="74" customFormat="1">
      <c r="A18" s="75"/>
      <c r="B18" s="75"/>
      <c r="C18" s="81"/>
      <c r="D18" s="82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</row>
    <row r="19" spans="1:17" s="74" customFormat="1">
      <c r="A19" s="75"/>
      <c r="B19" s="75"/>
      <c r="C19" s="81"/>
      <c r="D19" s="82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</row>
    <row r="20" spans="1:17">
      <c r="A20" s="75"/>
      <c r="B20" s="75"/>
      <c r="C20" s="81"/>
      <c r="D20" s="82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</row>
    <row r="21" spans="1:17">
      <c r="A21" s="75"/>
      <c r="B21" s="75"/>
      <c r="C21" s="81"/>
      <c r="D21" s="82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</row>
    <row r="22" spans="1:17">
      <c r="A22" s="75"/>
      <c r="B22" s="75"/>
      <c r="C22" s="81"/>
      <c r="D22" s="82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</row>
    <row r="23" spans="1:17">
      <c r="A23" s="75"/>
      <c r="B23" s="75"/>
      <c r="C23" s="81"/>
      <c r="D23" s="82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</row>
    <row r="24" spans="1:17">
      <c r="A24" s="75"/>
      <c r="B24" s="75"/>
      <c r="C24" s="81"/>
      <c r="D24" s="82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</row>
    <row r="25" spans="1:17">
      <c r="A25" s="75"/>
      <c r="B25" s="75"/>
      <c r="C25" s="81"/>
      <c r="D25" s="82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</row>
    <row r="26" spans="1:17">
      <c r="A26" s="75"/>
      <c r="B26" s="75"/>
      <c r="C26" s="81"/>
      <c r="D26" s="82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</row>
    <row r="27" spans="1:17">
      <c r="A27" s="75"/>
      <c r="B27" s="75"/>
      <c r="C27" s="81"/>
      <c r="D27" s="82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</row>
    <row r="28" spans="1:17">
      <c r="A28" s="75"/>
      <c r="B28" s="75"/>
      <c r="C28" s="81"/>
      <c r="D28" s="82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</row>
    <row r="29" spans="1:17">
      <c r="A29" s="75"/>
      <c r="B29" s="75"/>
      <c r="C29" s="81"/>
      <c r="D29" s="82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</row>
  </sheetData>
  <mergeCells count="1">
    <mergeCell ref="F1:K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42"/>
  <sheetViews>
    <sheetView topLeftCell="A35" zoomScale="104" zoomScaleNormal="104" workbookViewId="0">
      <selection activeCell="A42" sqref="A42"/>
    </sheetView>
  </sheetViews>
  <sheetFormatPr defaultColWidth="9.42578125" defaultRowHeight="27.95" customHeight="1"/>
  <cols>
    <col min="1" max="1" width="19.42578125" style="72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71" t="s">
        <v>19</v>
      </c>
      <c r="B1" s="63" t="s">
        <v>24</v>
      </c>
      <c r="C1" s="63"/>
      <c r="D1" s="91" t="s">
        <v>8</v>
      </c>
      <c r="E1" s="64" t="s">
        <v>9</v>
      </c>
      <c r="F1" s="64" t="s">
        <v>10</v>
      </c>
      <c r="G1" s="65" t="s">
        <v>13</v>
      </c>
      <c r="H1" s="66" t="s">
        <v>14</v>
      </c>
      <c r="I1" s="66" t="s">
        <v>15</v>
      </c>
      <c r="J1" s="87" t="s">
        <v>17</v>
      </c>
      <c r="K1" s="66"/>
      <c r="L1" s="87" t="s">
        <v>22</v>
      </c>
    </row>
    <row r="2" spans="1:15" ht="27.95" customHeight="1">
      <c r="A2" s="67">
        <v>1</v>
      </c>
      <c r="B2" s="67" t="s">
        <v>25</v>
      </c>
      <c r="C2" s="61"/>
      <c r="D2" s="61">
        <v>44307</v>
      </c>
      <c r="E2" s="15" t="str">
        <f>IFERROR(VLOOKUP(B2,COA!A:C,2,0),"-")</f>
        <v xml:space="preserve">ကိုခ်စ္ေက်ာ္သူ </v>
      </c>
      <c r="F2" s="15" t="str">
        <f>IFERROR(VLOOKUP($B2,COA!$A:$C,3,0),"-")</f>
        <v>ဝါးေသာက္</v>
      </c>
      <c r="G2" s="15" t="s">
        <v>26</v>
      </c>
      <c r="H2" s="60">
        <v>142500</v>
      </c>
      <c r="I2" s="60"/>
      <c r="J2" s="60">
        <v>142500</v>
      </c>
      <c r="K2" s="61"/>
      <c r="L2" s="61">
        <v>44316</v>
      </c>
      <c r="M2" s="60"/>
      <c r="N2" s="60"/>
      <c r="O2" s="60"/>
    </row>
    <row r="3" spans="1:15" ht="27.95" customHeight="1">
      <c r="A3" s="67">
        <v>2</v>
      </c>
      <c r="B3" s="67" t="s">
        <v>27</v>
      </c>
      <c r="C3" s="61"/>
      <c r="D3" s="61">
        <v>44308</v>
      </c>
      <c r="E3" s="15" t="str">
        <f>IFERROR(VLOOKUP(B3,COA!A:C,2,0),"-")</f>
        <v xml:space="preserve">ကိုမ်ိဳးသူ </v>
      </c>
      <c r="F3" s="15" t="str">
        <f>IFERROR(VLOOKUP($B3,COA!$A:$C,3,0),"-")</f>
        <v>ဝါးေသာက္</v>
      </c>
      <c r="G3" s="15" t="s">
        <v>26</v>
      </c>
      <c r="H3" s="60">
        <v>141100</v>
      </c>
      <c r="I3" s="60">
        <v>0</v>
      </c>
      <c r="J3" s="60">
        <v>141100</v>
      </c>
      <c r="K3" s="61"/>
      <c r="L3" s="61">
        <v>44316</v>
      </c>
      <c r="M3" s="60"/>
      <c r="N3" s="60"/>
      <c r="O3" s="60"/>
    </row>
    <row r="4" spans="1:15" ht="27.95" customHeight="1">
      <c r="A4" s="67">
        <v>3</v>
      </c>
      <c r="B4" s="67" t="s">
        <v>28</v>
      </c>
      <c r="C4" s="61"/>
      <c r="D4" s="61">
        <v>44308</v>
      </c>
      <c r="E4" s="15" t="str">
        <f>IFERROR(VLOOKUP(B4,COA!A:C,2,0),"-")</f>
        <v>ကိုကိုင္ဇာေဌး</v>
      </c>
      <c r="F4" s="15" t="str">
        <f>IFERROR(VLOOKUP($B4,COA!$A:$C,3,0),"-")</f>
        <v>ဝါးေသာက္</v>
      </c>
      <c r="G4" s="15" t="s">
        <v>26</v>
      </c>
      <c r="H4" s="60">
        <v>41700</v>
      </c>
      <c r="I4" s="60">
        <v>0</v>
      </c>
      <c r="J4" s="60">
        <v>41700</v>
      </c>
      <c r="K4" s="61"/>
      <c r="L4" s="61">
        <v>44316</v>
      </c>
      <c r="M4" s="60"/>
      <c r="N4" s="60"/>
      <c r="O4" s="60"/>
    </row>
    <row r="5" spans="1:15" ht="27.95" customHeight="1">
      <c r="A5" s="67">
        <v>4</v>
      </c>
      <c r="B5" s="67" t="s">
        <v>29</v>
      </c>
      <c r="C5" s="61"/>
      <c r="D5" s="61">
        <v>44308</v>
      </c>
      <c r="E5" s="15" t="str">
        <f>IFERROR(VLOOKUP(B5,COA!A:C,2,0),"-")</f>
        <v xml:space="preserve">ကိုေက်ာ္စိုး </v>
      </c>
      <c r="F5" s="15" t="str">
        <f>IFERROR(VLOOKUP($B5,COA!$A:$C,3,0),"-")</f>
        <v>ဝါးေသာက္</v>
      </c>
      <c r="G5" s="15" t="s">
        <v>26</v>
      </c>
      <c r="H5" s="60">
        <v>63200</v>
      </c>
      <c r="I5" s="60"/>
      <c r="J5" s="60">
        <v>63200</v>
      </c>
      <c r="K5" s="61"/>
      <c r="L5" s="61">
        <v>44316</v>
      </c>
      <c r="M5" s="60"/>
      <c r="N5" s="60"/>
      <c r="O5" s="60"/>
    </row>
    <row r="6" spans="1:15" ht="27.95" customHeight="1">
      <c r="A6" s="67">
        <v>5</v>
      </c>
      <c r="B6" s="67" t="s">
        <v>29</v>
      </c>
      <c r="C6" s="61"/>
      <c r="D6" s="61">
        <v>44308</v>
      </c>
      <c r="E6" s="15" t="str">
        <f>IFERROR(VLOOKUP(B6,COA!A:C,2,0),"-")</f>
        <v xml:space="preserve">ကိုေက်ာ္စိုး </v>
      </c>
      <c r="F6" s="15" t="str">
        <f>IFERROR(VLOOKUP($B6,COA!$A:$C,3,0),"-")</f>
        <v>ဝါးေသာက္</v>
      </c>
      <c r="G6" s="15" t="s">
        <v>26</v>
      </c>
      <c r="H6" s="60">
        <v>12000</v>
      </c>
      <c r="I6" s="60"/>
      <c r="J6" s="60">
        <v>12000</v>
      </c>
      <c r="K6" s="61"/>
      <c r="L6" s="61">
        <v>44316</v>
      </c>
      <c r="M6" s="60"/>
      <c r="N6" s="60"/>
      <c r="O6" s="60"/>
    </row>
    <row r="7" spans="1:15" ht="27.95" customHeight="1">
      <c r="A7" s="67">
        <v>6</v>
      </c>
      <c r="B7" s="67" t="s">
        <v>30</v>
      </c>
      <c r="C7" s="61"/>
      <c r="D7" s="61">
        <v>44308</v>
      </c>
      <c r="E7" s="15" t="str">
        <f>IFERROR(VLOOKUP(B7,COA!A:C,2,0),"-")</f>
        <v>ကိုသန္႔ဇင္</v>
      </c>
      <c r="F7" s="15" t="str">
        <f>IFERROR(VLOOKUP($B7,COA!$A:$C,3,0),"-")</f>
        <v>ဝါးေသာက္</v>
      </c>
      <c r="G7" s="15" t="s">
        <v>26</v>
      </c>
      <c r="H7" s="60">
        <v>121200</v>
      </c>
      <c r="I7" s="60"/>
      <c r="J7" s="60">
        <v>121200</v>
      </c>
      <c r="K7" s="61"/>
      <c r="L7" s="61">
        <v>44316</v>
      </c>
      <c r="M7" s="60"/>
      <c r="N7" s="60"/>
      <c r="O7" s="60"/>
    </row>
    <row r="8" spans="1:15" ht="27.95" customHeight="1">
      <c r="A8" s="67">
        <v>7</v>
      </c>
      <c r="B8" s="67" t="s">
        <v>30</v>
      </c>
      <c r="C8" s="61"/>
      <c r="D8" s="61">
        <v>44308</v>
      </c>
      <c r="E8" s="15" t="str">
        <f>IFERROR(VLOOKUP(B8,COA!A:C,2,0),"-")</f>
        <v>ကိုသန္႔ဇင္</v>
      </c>
      <c r="F8" s="15" t="str">
        <f>IFERROR(VLOOKUP($B8,COA!$A:$C,3,0),"-")</f>
        <v>ဝါးေသာက္</v>
      </c>
      <c r="G8" s="15" t="s">
        <v>26</v>
      </c>
      <c r="H8" s="60"/>
      <c r="I8" s="60">
        <v>120000</v>
      </c>
      <c r="J8" s="60">
        <v>-120000</v>
      </c>
      <c r="K8" s="15"/>
      <c r="L8" s="61">
        <v>44316</v>
      </c>
      <c r="M8" s="60"/>
      <c r="N8" s="60"/>
      <c r="O8" s="60"/>
    </row>
    <row r="9" spans="1:15" ht="27.95" customHeight="1">
      <c r="A9" s="67">
        <v>8</v>
      </c>
      <c r="B9" s="67" t="s">
        <v>30</v>
      </c>
      <c r="C9" s="61"/>
      <c r="D9" s="61">
        <v>44308</v>
      </c>
      <c r="E9" s="15" t="str">
        <f>IFERROR(VLOOKUP(B9,COA!A:C,2,0),"-")</f>
        <v>ကိုသန္႔ဇင္</v>
      </c>
      <c r="F9" s="15" t="str">
        <f>IFERROR(VLOOKUP($B9,COA!$A:$C,3,0),"-")</f>
        <v>ဝါးေသာက္</v>
      </c>
      <c r="G9" s="15" t="s">
        <v>26</v>
      </c>
      <c r="H9" s="60">
        <v>8000</v>
      </c>
      <c r="I9" s="60"/>
      <c r="J9" s="60">
        <v>8000</v>
      </c>
      <c r="K9" s="15"/>
      <c r="L9" s="61">
        <v>44316</v>
      </c>
      <c r="M9" s="60"/>
      <c r="N9" s="60"/>
      <c r="O9" s="60"/>
    </row>
    <row r="10" spans="1:15" ht="27.95" customHeight="1">
      <c r="A10" s="67">
        <v>9</v>
      </c>
      <c r="B10" s="67" t="s">
        <v>31</v>
      </c>
      <c r="C10" s="61"/>
      <c r="D10" s="61">
        <v>44308</v>
      </c>
      <c r="E10" s="15" t="str">
        <f>IFERROR(VLOOKUP(B10,COA!A:C,2,0),"-")</f>
        <v xml:space="preserve">ကိုတင္လွ </v>
      </c>
      <c r="F10" s="15" t="str">
        <f>IFERROR(VLOOKUP($B10,COA!$A:$C,3,0),"-")</f>
        <v>မဝန္း</v>
      </c>
      <c r="G10" s="15" t="s">
        <v>26</v>
      </c>
      <c r="H10" s="60">
        <v>61700</v>
      </c>
      <c r="I10" s="60"/>
      <c r="J10" s="60">
        <v>61700</v>
      </c>
      <c r="K10" s="15"/>
      <c r="L10" s="61">
        <v>44316</v>
      </c>
      <c r="M10" s="60"/>
      <c r="N10" s="60"/>
      <c r="O10" s="60"/>
    </row>
    <row r="11" spans="1:15" ht="27.95" customHeight="1">
      <c r="A11" s="67">
        <v>10</v>
      </c>
      <c r="B11" s="67" t="s">
        <v>31</v>
      </c>
      <c r="C11" s="61"/>
      <c r="D11" s="61">
        <v>44308</v>
      </c>
      <c r="E11" s="15" t="str">
        <f>IFERROR(VLOOKUP(B11,COA!A:C,2,0),"-")</f>
        <v xml:space="preserve">ကိုတင္လွ </v>
      </c>
      <c r="F11" s="15" t="str">
        <f>IFERROR(VLOOKUP($B11,COA!$A:$C,3,0),"-")</f>
        <v>မဝန္း</v>
      </c>
      <c r="G11" s="15" t="s">
        <v>26</v>
      </c>
      <c r="H11" s="60"/>
      <c r="I11" s="60">
        <v>30000</v>
      </c>
      <c r="J11" s="60">
        <v>-30000</v>
      </c>
      <c r="K11" s="15"/>
      <c r="L11" s="61">
        <v>44308</v>
      </c>
    </row>
    <row r="12" spans="1:15" ht="27.95" customHeight="1">
      <c r="A12" s="67">
        <v>11</v>
      </c>
      <c r="B12" s="67" t="s">
        <v>32</v>
      </c>
      <c r="D12" s="61">
        <v>44308</v>
      </c>
      <c r="E12" s="15" t="str">
        <f>IFERROR(VLOOKUP(B12,COA!A:C,2,0),"-")</f>
        <v xml:space="preserve">ေမာင္ျမင့္သူ </v>
      </c>
      <c r="F12" s="15" t="str">
        <f>IFERROR(VLOOKUP($B12,COA!$A:$C,3,0),"-")</f>
        <v>ခရိုကၡနိ</v>
      </c>
      <c r="G12" s="15" t="s">
        <v>26</v>
      </c>
      <c r="H12" s="59">
        <v>134300</v>
      </c>
      <c r="J12" s="59">
        <v>134300</v>
      </c>
      <c r="L12" s="61">
        <v>44316</v>
      </c>
    </row>
    <row r="13" spans="1:15" ht="27.95" customHeight="1">
      <c r="A13" s="67">
        <v>12</v>
      </c>
      <c r="B13" s="67" t="s">
        <v>32</v>
      </c>
      <c r="D13" s="61">
        <v>44308</v>
      </c>
      <c r="E13" s="15" t="str">
        <f>IFERROR(VLOOKUP(B13,COA!A:C,2,0),"-")</f>
        <v xml:space="preserve">ေမာင္ျမင့္သူ </v>
      </c>
      <c r="F13" s="15" t="str">
        <f>IFERROR(VLOOKUP($B13,COA!$A:$C,3,0),"-")</f>
        <v>ခရိုကၡနိ</v>
      </c>
      <c r="G13" s="15" t="s">
        <v>26</v>
      </c>
      <c r="I13" s="59">
        <v>55000</v>
      </c>
      <c r="J13" s="59">
        <v>-55000</v>
      </c>
      <c r="L13" s="61">
        <v>44316</v>
      </c>
    </row>
    <row r="14" spans="1:15" ht="27.95" customHeight="1">
      <c r="A14" s="67">
        <v>13</v>
      </c>
      <c r="B14" s="67" t="s">
        <v>33</v>
      </c>
      <c r="D14" s="61">
        <v>44307</v>
      </c>
      <c r="E14" s="15" t="str">
        <f>IFERROR(VLOOKUP(B14,COA!A:C,2,0),"-")</f>
        <v xml:space="preserve">ဦးေဇာ္ေထြး </v>
      </c>
      <c r="F14" s="15" t="str">
        <f>IFERROR(VLOOKUP($B14,COA!$A:$C,3,0),"-")</f>
        <v>သဲကုန္းတန္း</v>
      </c>
      <c r="G14" s="15" t="s">
        <v>44</v>
      </c>
      <c r="H14" s="59">
        <v>1200000</v>
      </c>
      <c r="J14" s="59">
        <v>1200000</v>
      </c>
      <c r="L14" s="61">
        <v>44316</v>
      </c>
    </row>
    <row r="15" spans="1:15" ht="27.95" customHeight="1">
      <c r="A15" s="72">
        <v>14</v>
      </c>
      <c r="B15" s="38" t="s">
        <v>27</v>
      </c>
      <c r="D15" s="61">
        <v>44308</v>
      </c>
      <c r="E15" s="15" t="str">
        <f>IFERROR(VLOOKUP(B15,COA!A:C,2,0),"-")</f>
        <v xml:space="preserve">ကိုမ်ိဳးသူ </v>
      </c>
      <c r="F15" s="15" t="str">
        <f>IFERROR(VLOOKUP($B15,COA!$A:$C,3,0),"-")</f>
        <v>ဝါးေသာက္</v>
      </c>
      <c r="G15" s="38" t="s">
        <v>26</v>
      </c>
      <c r="I15" s="59">
        <v>140500</v>
      </c>
      <c r="J15" s="59">
        <v>-140500</v>
      </c>
      <c r="L15" s="61">
        <v>44316</v>
      </c>
    </row>
    <row r="16" spans="1:15" ht="27.95" customHeight="1">
      <c r="A16" s="72">
        <v>15</v>
      </c>
      <c r="B16" s="38" t="s">
        <v>27</v>
      </c>
      <c r="D16" s="61">
        <v>44308</v>
      </c>
      <c r="E16" s="15" t="str">
        <f>IFERROR(VLOOKUP(B16,COA!A:C,2,0),"-")</f>
        <v xml:space="preserve">ကိုမ်ိဳးသူ </v>
      </c>
      <c r="F16" s="15" t="str">
        <f>IFERROR(VLOOKUP($B16,COA!$A:$C,3,0),"-")</f>
        <v>ဝါးေသာက္</v>
      </c>
      <c r="G16" s="38" t="s">
        <v>26</v>
      </c>
      <c r="H16" s="59">
        <v>188300</v>
      </c>
      <c r="J16" s="59">
        <v>188300</v>
      </c>
      <c r="L16" s="61">
        <v>44316</v>
      </c>
    </row>
    <row r="17" spans="1:21" ht="27.95" customHeight="1">
      <c r="A17" s="72">
        <v>16</v>
      </c>
      <c r="B17" s="38" t="s">
        <v>32</v>
      </c>
      <c r="D17" s="61">
        <v>44308</v>
      </c>
      <c r="E17" s="15" t="str">
        <f>IFERROR(VLOOKUP(B17,COA!A:C,2,0),"-")</f>
        <v xml:space="preserve">ေမာင္ျမင့္သူ </v>
      </c>
      <c r="F17" s="15" t="str">
        <f>IFERROR(VLOOKUP($B17,COA!$A:$C,3,0),"-")</f>
        <v>ခရိုကၡနိ</v>
      </c>
      <c r="G17" s="38" t="s">
        <v>26</v>
      </c>
      <c r="H17" s="59">
        <v>34000</v>
      </c>
      <c r="J17" s="59">
        <v>34000</v>
      </c>
      <c r="L17" s="61">
        <v>44316</v>
      </c>
    </row>
    <row r="18" spans="1:21" ht="27.95" customHeight="1">
      <c r="A18" s="72">
        <v>17</v>
      </c>
      <c r="B18" s="38" t="s">
        <v>27</v>
      </c>
      <c r="D18" s="61">
        <v>44309</v>
      </c>
      <c r="E18" s="15" t="str">
        <f>IFERROR(VLOOKUP(B18,COA!A:C,2,0),"-")</f>
        <v xml:space="preserve">ကိုမ်ိဳးသူ </v>
      </c>
      <c r="F18" s="15" t="str">
        <f>IFERROR(VLOOKUP($B18,COA!$A:$C,3,0),"-")</f>
        <v>ဝါးေသာက္</v>
      </c>
      <c r="G18" s="38" t="s">
        <v>26</v>
      </c>
      <c r="H18" s="59">
        <v>7900</v>
      </c>
      <c r="J18" s="59">
        <v>7900</v>
      </c>
      <c r="L18" s="61">
        <v>44316</v>
      </c>
    </row>
    <row r="19" spans="1:21" ht="27.95" customHeight="1">
      <c r="A19" s="72">
        <v>18</v>
      </c>
      <c r="B19" s="38" t="s">
        <v>29</v>
      </c>
      <c r="D19" s="61">
        <v>44311</v>
      </c>
      <c r="E19" s="15" t="str">
        <f>IFERROR(VLOOKUP(B19,COA!A:C,2,0),"-")</f>
        <v xml:space="preserve">ကိုေက်ာ္စိုး </v>
      </c>
      <c r="F19" s="15" t="str">
        <f>IFERROR(VLOOKUP($B19,COA!$A:$C,3,0),"-")</f>
        <v>ဝါးေသာက္</v>
      </c>
      <c r="G19" s="38" t="s">
        <v>26</v>
      </c>
      <c r="H19" s="59">
        <v>1400</v>
      </c>
      <c r="J19" s="59">
        <v>1400</v>
      </c>
      <c r="L19" s="61">
        <v>44316</v>
      </c>
    </row>
    <row r="20" spans="1:21" ht="27.95" customHeight="1">
      <c r="A20" s="72">
        <v>19</v>
      </c>
      <c r="B20" s="38" t="s">
        <v>33</v>
      </c>
      <c r="D20" s="50">
        <v>44313</v>
      </c>
      <c r="E20" s="15" t="str">
        <f>IFERROR(VLOOKUP(B20,COA!A:C,2,0),"-")</f>
        <v xml:space="preserve">ဦးေဇာ္ေထြး </v>
      </c>
      <c r="F20" s="15" t="str">
        <f>IFERROR(VLOOKUP($B20,COA!$A:$C,3,0),"-")</f>
        <v>သဲကုန္းတန္း</v>
      </c>
      <c r="G20" s="38" t="s">
        <v>59</v>
      </c>
      <c r="H20" s="59">
        <v>31000</v>
      </c>
      <c r="J20" s="59">
        <v>31000</v>
      </c>
      <c r="L20" s="61">
        <v>44316</v>
      </c>
    </row>
    <row r="21" spans="1:21" ht="27.95" customHeight="1">
      <c r="A21" s="72">
        <v>21</v>
      </c>
      <c r="B21" s="38" t="s">
        <v>32</v>
      </c>
      <c r="D21" s="50">
        <v>44315</v>
      </c>
      <c r="E21" s="15" t="str">
        <f>IFERROR(VLOOKUP(B21,COA!A:C,2,0),"-")</f>
        <v xml:space="preserve">ေမာင္ျမင့္သူ </v>
      </c>
      <c r="F21" s="15" t="str">
        <f>IFERROR(VLOOKUP($B21,COA!$A:$C,3,0),"-")</f>
        <v>ခရိုကၡနိ</v>
      </c>
      <c r="G21" s="38" t="s">
        <v>63</v>
      </c>
      <c r="I21" s="59">
        <v>20000</v>
      </c>
      <c r="J21" s="59">
        <v>-20000</v>
      </c>
      <c r="L21" s="61">
        <v>44317</v>
      </c>
    </row>
    <row r="22" spans="1:21" s="111" customFormat="1" ht="27.95" customHeight="1">
      <c r="A22" s="110">
        <v>22</v>
      </c>
      <c r="B22" s="111" t="s">
        <v>33</v>
      </c>
      <c r="C22" s="112"/>
      <c r="D22" s="112">
        <v>44316</v>
      </c>
      <c r="E22" s="113" t="str">
        <f>IFERROR(VLOOKUP(B22,COA!A:C,2,0),"-")</f>
        <v xml:space="preserve">ဦးေဇာ္ေထြး </v>
      </c>
      <c r="F22" s="113" t="str">
        <f>IFERROR(VLOOKUP($B22,COA!$A:$C,3,0),"-")</f>
        <v>သဲကုန္းတန္း</v>
      </c>
      <c r="G22" s="111" t="s">
        <v>63</v>
      </c>
      <c r="H22" s="114"/>
      <c r="I22" s="114">
        <v>300000</v>
      </c>
      <c r="J22" s="114">
        <v>-300000</v>
      </c>
      <c r="L22" s="115"/>
      <c r="M22" s="114"/>
      <c r="N22" s="114"/>
      <c r="O22" s="114"/>
      <c r="P22" s="114"/>
      <c r="Q22" s="114"/>
      <c r="R22" s="116"/>
      <c r="S22" s="114"/>
      <c r="T22" s="114"/>
      <c r="U22" s="114"/>
    </row>
    <row r="23" spans="1:21" ht="27.95" customHeight="1">
      <c r="A23" s="72">
        <v>23</v>
      </c>
      <c r="B23" s="38" t="s">
        <v>25</v>
      </c>
      <c r="D23" s="50">
        <v>44317</v>
      </c>
      <c r="E23" s="15" t="str">
        <f>IFERROR(VLOOKUP(B23,COA!A:C,2,0),"-")</f>
        <v xml:space="preserve">ကိုခ်စ္ေက်ာ္သူ </v>
      </c>
      <c r="F23" s="15" t="str">
        <f>IFERROR(VLOOKUP($B23,COA!$A:$C,3,0),"-")</f>
        <v>ဝါးေသာက္</v>
      </c>
      <c r="G23" s="38" t="s">
        <v>26</v>
      </c>
      <c r="H23" s="59">
        <v>1200</v>
      </c>
      <c r="J23" s="59">
        <v>1200</v>
      </c>
      <c r="L23" s="61">
        <v>44347</v>
      </c>
    </row>
    <row r="24" spans="1:21" ht="27.95" customHeight="1">
      <c r="A24" s="72">
        <v>24</v>
      </c>
      <c r="B24" s="38" t="s">
        <v>33</v>
      </c>
      <c r="D24" s="50">
        <v>44318</v>
      </c>
      <c r="E24" s="15" t="str">
        <f>IFERROR(VLOOKUP(B24,COA!A:C,2,0),"-")</f>
        <v xml:space="preserve">ဦးေဇာ္ေထြး </v>
      </c>
      <c r="F24" s="15" t="str">
        <f>IFERROR(VLOOKUP($B24,COA!$A:$C,3,0),"-")</f>
        <v>သဲကုန္းတန္း</v>
      </c>
      <c r="G24" s="38" t="s">
        <v>54</v>
      </c>
      <c r="H24" s="59">
        <v>40000</v>
      </c>
      <c r="J24" s="59">
        <v>40000</v>
      </c>
      <c r="L24" s="61">
        <v>44347</v>
      </c>
    </row>
    <row r="25" spans="1:21" ht="27.95" customHeight="1">
      <c r="A25" s="72">
        <v>25</v>
      </c>
      <c r="B25" s="38" t="s">
        <v>33</v>
      </c>
      <c r="D25" s="50">
        <v>44319</v>
      </c>
      <c r="E25" s="15" t="str">
        <f>IFERROR(VLOOKUP(B25,COA!A:C,2,0),"-")</f>
        <v xml:space="preserve">ဦးေဇာ္ေထြး </v>
      </c>
      <c r="F25" s="15" t="str">
        <f>IFERROR(VLOOKUP($B25,COA!$A:$C,3,0),"-")</f>
        <v>သဲကုန္းတန္း</v>
      </c>
      <c r="G25" s="38" t="s">
        <v>54</v>
      </c>
      <c r="H25" s="59">
        <v>53000</v>
      </c>
      <c r="J25" s="59">
        <v>53000</v>
      </c>
      <c r="L25" s="61">
        <v>44347</v>
      </c>
    </row>
    <row r="26" spans="1:21" ht="27.95" customHeight="1">
      <c r="A26" s="72">
        <v>26</v>
      </c>
      <c r="B26" s="38" t="s">
        <v>25</v>
      </c>
      <c r="D26" s="50">
        <v>44319</v>
      </c>
      <c r="E26" s="15"/>
      <c r="F26" s="15"/>
      <c r="G26" s="38" t="s">
        <v>63</v>
      </c>
      <c r="I26" s="59">
        <v>1200</v>
      </c>
      <c r="J26" s="59">
        <v>-1200</v>
      </c>
    </row>
    <row r="27" spans="1:21" ht="27.95" customHeight="1">
      <c r="A27" s="72">
        <v>27</v>
      </c>
      <c r="B27" s="38" t="s">
        <v>30</v>
      </c>
      <c r="D27" s="50">
        <v>44322</v>
      </c>
      <c r="E27" s="15" t="str">
        <f>IFERROR(VLOOKUP(B27,COA!A:C,2,0),"-")</f>
        <v>ကိုသန္႔ဇင္</v>
      </c>
      <c r="F27" s="15" t="str">
        <f>IFERROR(VLOOKUP($B27,COA!$A:$C,3,0),"-")</f>
        <v>ဝါးေသာက္</v>
      </c>
      <c r="G27" s="38" t="s">
        <v>26</v>
      </c>
      <c r="H27" s="59">
        <v>9000</v>
      </c>
      <c r="J27" s="59">
        <v>9000</v>
      </c>
      <c r="L27" s="61">
        <v>44347</v>
      </c>
    </row>
    <row r="28" spans="1:21" ht="27.95" customHeight="1">
      <c r="A28" s="72">
        <v>28</v>
      </c>
      <c r="B28" s="38" t="s">
        <v>33</v>
      </c>
      <c r="D28" s="50">
        <v>44330</v>
      </c>
      <c r="E28" s="15" t="str">
        <f>IFERROR(VLOOKUP(B28,COA!A:C,2,0),"-")</f>
        <v xml:space="preserve">ဦးေဇာ္ေထြး </v>
      </c>
      <c r="F28" s="15" t="str">
        <f>IFERROR(VLOOKUP($B28,COA!$A:$C,3,0),"-")</f>
        <v>သဲကုန္းတန္း</v>
      </c>
      <c r="G28" s="38" t="s">
        <v>63</v>
      </c>
      <c r="I28" s="59">
        <v>971000</v>
      </c>
      <c r="J28" s="59">
        <v>-971000</v>
      </c>
    </row>
    <row r="29" spans="1:21" ht="27.95" customHeight="1">
      <c r="A29" s="72">
        <v>29</v>
      </c>
      <c r="B29" s="38" t="s">
        <v>32</v>
      </c>
      <c r="D29" s="50">
        <v>44331</v>
      </c>
      <c r="E29" s="15" t="str">
        <f>IFERROR(VLOOKUP(B29,COA!A:C,2,0),"-")</f>
        <v xml:space="preserve">ေမာင္ျမင့္သူ </v>
      </c>
      <c r="F29" s="15" t="str">
        <f>IFERROR(VLOOKUP($B29,COA!$A:$C,3,0),"-")</f>
        <v>ခရိုကၡနိ</v>
      </c>
      <c r="G29" s="38" t="s">
        <v>63</v>
      </c>
      <c r="I29" s="59">
        <v>20000</v>
      </c>
      <c r="J29" s="59">
        <v>-20000</v>
      </c>
    </row>
    <row r="30" spans="1:21" ht="27.95" customHeight="1">
      <c r="A30" s="72">
        <v>30</v>
      </c>
      <c r="B30" s="38" t="s">
        <v>29</v>
      </c>
      <c r="D30" s="50">
        <v>44331</v>
      </c>
      <c r="E30" s="15" t="str">
        <f>IFERROR(VLOOKUP(B30,COA!A:C,2,0),"-")</f>
        <v xml:space="preserve">ကိုေက်ာ္စိုး </v>
      </c>
      <c r="F30" s="15" t="str">
        <f>IFERROR(VLOOKUP($B30,COA!$A:$C,3,0),"-")</f>
        <v>ဝါးေသာက္</v>
      </c>
      <c r="G30" s="38" t="s">
        <v>26</v>
      </c>
      <c r="H30" s="59">
        <v>16300</v>
      </c>
      <c r="J30" s="59">
        <v>16300</v>
      </c>
      <c r="L30" s="61">
        <v>44347</v>
      </c>
    </row>
    <row r="31" spans="1:21" ht="27.95" customHeight="1">
      <c r="A31" s="72">
        <v>31</v>
      </c>
      <c r="B31" s="38" t="s">
        <v>29</v>
      </c>
      <c r="D31" s="50">
        <v>44339</v>
      </c>
      <c r="E31" s="15" t="str">
        <f>IFERROR(VLOOKUP(B31,COA!A:C,2,0),"-")</f>
        <v xml:space="preserve">ကိုေက်ာ္စိုး </v>
      </c>
      <c r="F31" s="15" t="str">
        <f>IFERROR(VLOOKUP($B31,COA!$A:$C,3,0),"-")</f>
        <v>ဝါးေသာက္</v>
      </c>
      <c r="G31" s="38" t="s">
        <v>63</v>
      </c>
      <c r="I31" s="59">
        <v>50000</v>
      </c>
      <c r="J31" s="59">
        <v>-50000</v>
      </c>
    </row>
    <row r="32" spans="1:21" ht="27.95" customHeight="1">
      <c r="A32" s="72">
        <v>32</v>
      </c>
      <c r="B32" s="38" t="s">
        <v>28</v>
      </c>
      <c r="D32" s="50">
        <v>44339</v>
      </c>
      <c r="E32" s="15" t="str">
        <f>IFERROR(VLOOKUP(B32,COA!A:C,2,0),"-")</f>
        <v>ကိုကိုင္ဇာေဌး</v>
      </c>
      <c r="F32" s="15" t="str">
        <f>IFERROR(VLOOKUP($B32,COA!$A:$C,3,0),"-")</f>
        <v>ဝါးေသာက္</v>
      </c>
      <c r="G32" s="38" t="s">
        <v>63</v>
      </c>
      <c r="I32" s="59">
        <v>10000</v>
      </c>
      <c r="J32" s="59">
        <v>-10000</v>
      </c>
    </row>
    <row r="33" spans="1:21" s="111" customFormat="1" ht="27.95" customHeight="1">
      <c r="A33" s="110">
        <v>33</v>
      </c>
      <c r="B33" s="111" t="s">
        <v>32</v>
      </c>
      <c r="C33" s="112"/>
      <c r="D33" s="112">
        <v>44339</v>
      </c>
      <c r="E33" s="113" t="str">
        <f>IFERROR(VLOOKUP(B33,COA!A:C,2,0),"-")</f>
        <v xml:space="preserve">ေမာင္ျမင့္သူ </v>
      </c>
      <c r="F33" s="113" t="str">
        <f>IFERROR(VLOOKUP($B33,COA!$A:$C,3,0),"-")</f>
        <v>ခရိုကၡနိ</v>
      </c>
      <c r="G33" s="111" t="s">
        <v>63</v>
      </c>
      <c r="H33" s="114"/>
      <c r="I33" s="114">
        <v>30000</v>
      </c>
      <c r="J33" s="114">
        <v>-30000</v>
      </c>
      <c r="L33" s="115"/>
      <c r="M33" s="114"/>
      <c r="N33" s="114"/>
      <c r="O33" s="114"/>
      <c r="P33" s="114"/>
      <c r="Q33" s="114"/>
      <c r="R33" s="116"/>
      <c r="S33" s="114"/>
      <c r="T33" s="114"/>
      <c r="U33" s="114"/>
    </row>
    <row r="34" spans="1:21" ht="27.95" customHeight="1">
      <c r="A34" s="72">
        <v>34</v>
      </c>
      <c r="B34" s="38" t="s">
        <v>30</v>
      </c>
      <c r="D34" s="50">
        <v>44350</v>
      </c>
      <c r="E34" s="15" t="str">
        <f>IFERROR(VLOOKUP(B34,COA!A:C,2,0),"-")</f>
        <v>ကိုသန္႔ဇင္</v>
      </c>
      <c r="F34" s="15" t="str">
        <f>IFERROR(VLOOKUP($B34,COA!$A:$C,3,0),"-")</f>
        <v>ဝါးေသာက္</v>
      </c>
      <c r="G34" s="38" t="s">
        <v>26</v>
      </c>
      <c r="H34" s="59">
        <v>82200</v>
      </c>
      <c r="J34" s="59">
        <v>82200</v>
      </c>
      <c r="L34" s="61">
        <v>44377</v>
      </c>
    </row>
    <row r="35" spans="1:21" ht="27.95" customHeight="1">
      <c r="A35" s="72">
        <v>35</v>
      </c>
      <c r="B35" s="38" t="s">
        <v>33</v>
      </c>
      <c r="D35" s="50">
        <v>44351</v>
      </c>
      <c r="E35" s="15" t="str">
        <f>IFERROR(VLOOKUP(B35,COA!A:C,2,0),"-")</f>
        <v xml:space="preserve">ဦးေဇာ္ေထြး </v>
      </c>
      <c r="F35" s="15" t="str">
        <f>IFERROR(VLOOKUP($B35,COA!$A:$C,3,0),"-")</f>
        <v>သဲကုန္းတန္း</v>
      </c>
      <c r="G35" s="38" t="s">
        <v>63</v>
      </c>
      <c r="I35" s="59">
        <v>53000</v>
      </c>
      <c r="J35" s="59">
        <v>-53000</v>
      </c>
    </row>
    <row r="36" spans="1:21" ht="27.95" customHeight="1">
      <c r="A36" s="72">
        <v>36</v>
      </c>
      <c r="B36" s="38" t="s">
        <v>33</v>
      </c>
      <c r="D36" s="50">
        <v>44353</v>
      </c>
      <c r="E36" s="15" t="str">
        <f>IFERROR(VLOOKUP(B36,COA!A:C,2,0),"-")</f>
        <v xml:space="preserve">ဦးေဇာ္ေထြး </v>
      </c>
      <c r="F36" s="15" t="str">
        <f>IFERROR(VLOOKUP($B36,COA!$A:$C,3,0),"-")</f>
        <v>သဲကုန္းတန္း</v>
      </c>
      <c r="G36" s="38" t="s">
        <v>54</v>
      </c>
      <c r="H36" s="59">
        <v>11000</v>
      </c>
      <c r="J36" s="59">
        <v>11000</v>
      </c>
      <c r="L36" s="61">
        <v>44377</v>
      </c>
    </row>
    <row r="37" spans="1:21" ht="27.95" customHeight="1">
      <c r="A37" s="72">
        <v>37</v>
      </c>
      <c r="B37" s="38" t="s">
        <v>29</v>
      </c>
      <c r="D37" s="50">
        <v>44357</v>
      </c>
      <c r="E37" s="15" t="str">
        <f>IFERROR(VLOOKUP(B37,COA!A:C,2,0),"-")</f>
        <v xml:space="preserve">ကိုေက်ာ္စိုး </v>
      </c>
      <c r="F37" s="15" t="str">
        <f>IFERROR(VLOOKUP($B37,COA!$A:$C,3,0),"-")</f>
        <v>ဝါးေသာက္</v>
      </c>
      <c r="G37" s="38" t="s">
        <v>54</v>
      </c>
      <c r="H37" s="59">
        <v>3000</v>
      </c>
      <c r="J37" s="59">
        <v>3000</v>
      </c>
      <c r="L37" s="61">
        <v>44377</v>
      </c>
    </row>
    <row r="38" spans="1:21" ht="27.95" customHeight="1">
      <c r="A38" s="72">
        <v>38</v>
      </c>
      <c r="B38" s="38" t="s">
        <v>25</v>
      </c>
      <c r="D38" s="50">
        <v>44366</v>
      </c>
      <c r="E38" s="15" t="str">
        <f>IFERROR(VLOOKUP(B38,COA!A:C,2,0),"-")</f>
        <v xml:space="preserve">ကိုခ်စ္ေက်ာ္သူ </v>
      </c>
      <c r="F38" s="15" t="str">
        <f>IFERROR(VLOOKUP($B38,COA!$A:$C,3,0),"-")</f>
        <v>ဝါးေသာက္</v>
      </c>
      <c r="G38" s="38" t="s">
        <v>63</v>
      </c>
      <c r="I38" s="59">
        <v>142500</v>
      </c>
      <c r="J38" s="59">
        <v>-142500</v>
      </c>
    </row>
    <row r="39" spans="1:21" ht="27.95" customHeight="1">
      <c r="A39" s="72">
        <v>39</v>
      </c>
      <c r="B39" s="38" t="s">
        <v>28</v>
      </c>
      <c r="D39" s="50">
        <v>44376</v>
      </c>
      <c r="E39" s="15" t="str">
        <f>IFERROR(VLOOKUP(B39,COA!A:C,2,0),"-")</f>
        <v>ကိုကိုင္ဇာေဌး</v>
      </c>
      <c r="F39" s="15" t="str">
        <f>IFERROR(VLOOKUP($B39,COA!$A:$C,3,0),"-")</f>
        <v>ဝါးေသာက္</v>
      </c>
      <c r="G39" s="38" t="s">
        <v>63</v>
      </c>
      <c r="I39" s="59">
        <v>10000</v>
      </c>
      <c r="J39" s="59">
        <v>-10000</v>
      </c>
      <c r="L39" s="61">
        <v>44376</v>
      </c>
    </row>
    <row r="40" spans="1:21" s="111" customFormat="1" ht="27.95" customHeight="1">
      <c r="A40" s="110">
        <v>40</v>
      </c>
      <c r="B40" s="111" t="s">
        <v>31</v>
      </c>
      <c r="C40" s="112"/>
      <c r="D40" s="112">
        <v>44377</v>
      </c>
      <c r="E40" s="113" t="str">
        <f>IFERROR(VLOOKUP(B40,COA!A:C,2,0),"-")</f>
        <v xml:space="preserve">ကိုတင္လွ </v>
      </c>
      <c r="F40" s="113" t="str">
        <f>IFERROR(VLOOKUP($B40,COA!$A:$C,3,0),"-")</f>
        <v>မဝန္း</v>
      </c>
      <c r="G40" s="111" t="s">
        <v>63</v>
      </c>
      <c r="H40" s="114"/>
      <c r="I40" s="114">
        <v>10000</v>
      </c>
      <c r="J40" s="114">
        <v>-10000</v>
      </c>
      <c r="L40" s="115">
        <v>44377</v>
      </c>
      <c r="M40" s="114"/>
      <c r="N40" s="114"/>
      <c r="O40" s="114"/>
      <c r="P40" s="114"/>
      <c r="Q40" s="114"/>
      <c r="R40" s="116"/>
      <c r="S40" s="114"/>
      <c r="T40" s="114"/>
      <c r="U40" s="114"/>
    </row>
    <row r="41" spans="1:21" ht="27.95" customHeight="1">
      <c r="A41" s="72">
        <v>41</v>
      </c>
      <c r="B41" s="38" t="s">
        <v>32</v>
      </c>
      <c r="D41" s="50">
        <v>44382</v>
      </c>
      <c r="E41" s="15" t="str">
        <f>IFERROR(VLOOKUP(B41,COA!A:C,2,0),"-")</f>
        <v xml:space="preserve">ေမာင္ျမင့္သူ </v>
      </c>
      <c r="F41" s="15" t="str">
        <f>IFERROR(VLOOKUP($B41,COA!$A:$C,3,0),"-")</f>
        <v>ခရိုကၡနိ</v>
      </c>
      <c r="G41" s="38" t="s">
        <v>63</v>
      </c>
      <c r="I41" s="59">
        <v>20000</v>
      </c>
      <c r="J41" s="59">
        <v>-20000</v>
      </c>
      <c r="L41" s="61">
        <v>44382</v>
      </c>
    </row>
    <row r="42" spans="1:21" ht="27.95" customHeight="1">
      <c r="A42" s="72">
        <v>42</v>
      </c>
      <c r="B42" s="38" t="s">
        <v>32</v>
      </c>
      <c r="D42" s="50">
        <v>44387</v>
      </c>
      <c r="E42" s="15" t="str">
        <f>IFERROR(VLOOKUP(B42,COA!A:C,2,0),"-")</f>
        <v xml:space="preserve">ေမာင္ျမင့္သူ </v>
      </c>
      <c r="F42" s="15" t="str">
        <f>IFERROR(VLOOKUP($B42,COA!$A:$C,3,0),"-")</f>
        <v>ခရိုကၡနိ</v>
      </c>
      <c r="G42" s="38" t="s">
        <v>26</v>
      </c>
      <c r="H42" s="59">
        <v>4500</v>
      </c>
      <c r="J42" s="59">
        <v>4500</v>
      </c>
      <c r="L42" s="61">
        <v>44407</v>
      </c>
    </row>
  </sheetData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workbookViewId="0">
      <selection activeCell="D12" sqref="A1:D12"/>
    </sheetView>
  </sheetViews>
  <sheetFormatPr defaultRowHeight="21.75"/>
  <cols>
    <col min="1" max="1" width="21.140625" style="38" bestFit="1" customWidth="1"/>
    <col min="2" max="2" width="14.7109375" style="3" bestFit="1" customWidth="1"/>
    <col min="3" max="3" width="11.5703125" style="92" bestFit="1" customWidth="1"/>
    <col min="4" max="4" width="19.140625" style="93" bestFit="1" customWidth="1"/>
    <col min="5" max="5" width="0" style="3" hidden="1" customWidth="1"/>
    <col min="6" max="6" width="12.42578125" style="101" bestFit="1" customWidth="1"/>
    <col min="7" max="16384" width="9.140625" style="3"/>
  </cols>
  <sheetData>
    <row r="1" spans="1:5">
      <c r="A1" s="38" t="s">
        <v>65</v>
      </c>
    </row>
    <row r="2" spans="1:5" ht="30.75" customHeight="1">
      <c r="A2" s="96" t="s">
        <v>24</v>
      </c>
      <c r="B2" s="97" t="s">
        <v>9</v>
      </c>
      <c r="C2" s="98" t="s">
        <v>10</v>
      </c>
      <c r="D2" s="99" t="s">
        <v>17</v>
      </c>
      <c r="E2" s="95"/>
    </row>
    <row r="3" spans="1:5">
      <c r="A3" s="37" t="s">
        <v>25</v>
      </c>
      <c r="B3" s="86" t="str">
        <f>VLOOKUP($A3,' Data Save '!$B:$L,4,0)</f>
        <v xml:space="preserve">ကိုခ်စ္ေက်ာ္သူ </v>
      </c>
      <c r="C3" s="100" t="str">
        <f>VLOOKUP($A3,' Data Save '!$B:$L,5,0)</f>
        <v>ဝါးေသာက္</v>
      </c>
      <c r="D3" s="12">
        <f>SUMIF(' Data Save '!B:B,'Total Balance'!A3,' Data Save '!J:J)</f>
        <v>0</v>
      </c>
    </row>
    <row r="4" spans="1:5">
      <c r="A4" s="37" t="s">
        <v>27</v>
      </c>
      <c r="B4" s="86" t="str">
        <f>VLOOKUP($A4,' Data Save '!$B:$L,4,0)</f>
        <v xml:space="preserve">ကိုမ်ိဳးသူ </v>
      </c>
      <c r="C4" s="100" t="str">
        <f>VLOOKUP($A4,' Data Save '!$B:$L,5,0)</f>
        <v>ဝါးေသာက္</v>
      </c>
      <c r="D4" s="12">
        <f>SUMIF(' Data Save '!B:B,'Total Balance'!A4,' Data Save '!J:J)</f>
        <v>196800</v>
      </c>
    </row>
    <row r="5" spans="1:5">
      <c r="A5" s="37" t="s">
        <v>28</v>
      </c>
      <c r="B5" s="86" t="str">
        <f>VLOOKUP($A5,' Data Save '!$B:$L,4,0)</f>
        <v>ကိုကိုင္ဇာေဌး</v>
      </c>
      <c r="C5" s="100" t="str">
        <f>VLOOKUP($A5,' Data Save '!$B:$L,5,0)</f>
        <v>ဝါးေသာက္</v>
      </c>
      <c r="D5" s="12">
        <f>SUMIF(' Data Save '!B:B,'Total Balance'!A5,' Data Save '!J:J)</f>
        <v>21700</v>
      </c>
    </row>
    <row r="6" spans="1:5">
      <c r="A6" s="37" t="s">
        <v>29</v>
      </c>
      <c r="B6" s="86" t="str">
        <f>VLOOKUP($A6,' Data Save '!$B:$L,4,0)</f>
        <v xml:space="preserve">ကိုေက်ာ္စိုး </v>
      </c>
      <c r="C6" s="100" t="str">
        <f>VLOOKUP($A6,' Data Save '!$B:$L,5,0)</f>
        <v>ဝါးေသာက္</v>
      </c>
      <c r="D6" s="12">
        <f>SUMIF(' Data Save '!B:B,'Total Balance'!A6,' Data Save '!J:J)</f>
        <v>45900</v>
      </c>
    </row>
    <row r="7" spans="1:5">
      <c r="A7" s="37" t="s">
        <v>30</v>
      </c>
      <c r="B7" s="86" t="str">
        <f>VLOOKUP($A7,' Data Save '!$B:$L,4,0)</f>
        <v>ကိုသန္႔ဇင္</v>
      </c>
      <c r="C7" s="100" t="str">
        <f>VLOOKUP($A7,' Data Save '!$B:$L,5,0)</f>
        <v>ဝါးေသာက္</v>
      </c>
      <c r="D7" s="12">
        <f>SUMIF(' Data Save '!B:B,'Total Balance'!A7,' Data Save '!J:J)</f>
        <v>100400</v>
      </c>
    </row>
    <row r="8" spans="1:5">
      <c r="A8" s="37" t="s">
        <v>31</v>
      </c>
      <c r="B8" s="86" t="str">
        <f>VLOOKUP($A8,' Data Save '!$B:$L,4,0)</f>
        <v xml:space="preserve">ကိုတင္လွ </v>
      </c>
      <c r="C8" s="100" t="str">
        <f>VLOOKUP($A8,' Data Save '!$B:$L,5,0)</f>
        <v>မဝန္း</v>
      </c>
      <c r="D8" s="12">
        <f>SUMIF(' Data Save '!B:B,'Total Balance'!A8,' Data Save '!J:J)</f>
        <v>21700</v>
      </c>
    </row>
    <row r="9" spans="1:5">
      <c r="A9" s="37" t="s">
        <v>32</v>
      </c>
      <c r="B9" s="86" t="str">
        <f>VLOOKUP($A9,' Data Save '!$B:$L,4,0)</f>
        <v xml:space="preserve">ေမာင္ျမင့္သူ </v>
      </c>
      <c r="C9" s="100" t="str">
        <f>VLOOKUP($A9,' Data Save '!$B:$L,5,0)</f>
        <v>ခရိုကၡနိ</v>
      </c>
      <c r="D9" s="12">
        <f>SUMIF(' Data Save '!B:B,'Total Balance'!A9,' Data Save '!J:J)</f>
        <v>27800</v>
      </c>
    </row>
    <row r="10" spans="1:5">
      <c r="A10" s="37" t="s">
        <v>33</v>
      </c>
      <c r="B10" s="86" t="str">
        <f>VLOOKUP($A10,' Data Save '!$B:$L,4,0)</f>
        <v xml:space="preserve">ဦးေဇာ္ေထြး </v>
      </c>
      <c r="C10" s="100" t="str">
        <f>VLOOKUP($A10,' Data Save '!$B:$L,5,0)</f>
        <v>သဲကုန္းတန္း</v>
      </c>
      <c r="D10" s="12">
        <f>SUMIF(' Data Save '!B:B,'Total Balance'!A10,' Data Save '!J:J)</f>
        <v>11000</v>
      </c>
    </row>
    <row r="12" spans="1:5" ht="22.5" thickBot="1">
      <c r="C12" s="13" t="s">
        <v>64</v>
      </c>
      <c r="D12" s="94">
        <f>SUM(D3:D11)</f>
        <v>425300</v>
      </c>
    </row>
    <row r="13" spans="1:5" ht="22.5" thickTop="1"/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abSelected="1" topLeftCell="A10" zoomScaleNormal="100" workbookViewId="0"/>
  </sheetViews>
  <sheetFormatPr defaultColWidth="9.140625" defaultRowHeight="21.75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8"/>
      <c r="I1" s="68"/>
      <c r="J1" s="68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8"/>
      <c r="I2" s="68"/>
      <c r="J2" s="68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8"/>
      <c r="I3" s="68"/>
      <c r="J3" s="68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8"/>
      <c r="I4" s="68"/>
      <c r="J4" s="68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8"/>
      <c r="I5" s="68"/>
      <c r="J5" s="68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8"/>
      <c r="I6" s="68"/>
      <c r="J6" s="68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8"/>
      <c r="I7" s="68"/>
      <c r="J7" s="68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8"/>
      <c r="I8" s="68"/>
      <c r="J8" s="68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9"/>
      <c r="I9" s="69"/>
      <c r="J9" s="69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 xml:space="preserve">ေမာင္ျမင့္သူ </v>
      </c>
      <c r="C10" s="42"/>
      <c r="D10" s="8" t="s">
        <v>8</v>
      </c>
      <c r="E10" s="49">
        <f>D33</f>
        <v>44387</v>
      </c>
      <c r="F10" s="34"/>
      <c r="G10" s="34"/>
      <c r="H10" s="68"/>
      <c r="I10" s="68"/>
      <c r="J10" s="68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ခရိုကၡနိ</v>
      </c>
      <c r="C11" s="43"/>
      <c r="D11" s="8" t="s">
        <v>19</v>
      </c>
      <c r="E11" s="51">
        <v>42</v>
      </c>
      <c r="F11" s="34"/>
      <c r="G11" s="34"/>
      <c r="H11" s="68"/>
      <c r="I11" s="68"/>
      <c r="J11" s="68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90" t="str">
        <f>B33</f>
        <v>SPR007</v>
      </c>
      <c r="C12" s="44"/>
      <c r="D12" s="2"/>
      <c r="E12" s="60"/>
      <c r="F12" s="34"/>
      <c r="G12" s="34"/>
      <c r="H12" s="68"/>
      <c r="I12" s="68"/>
      <c r="J12" s="68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8"/>
      <c r="I13" s="68"/>
      <c r="J13" s="68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8"/>
      <c r="I14" s="68"/>
      <c r="J14" s="68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8"/>
      <c r="I15" s="68"/>
      <c r="J15" s="68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Tri Spare</v>
      </c>
      <c r="C16" s="18"/>
      <c r="D16" s="10"/>
      <c r="E16" s="5">
        <f>H33</f>
        <v>4500</v>
      </c>
      <c r="F16" s="34"/>
      <c r="G16" s="34"/>
      <c r="H16" s="68"/>
      <c r="I16" s="68"/>
      <c r="J16" s="68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4500</v>
      </c>
      <c r="F17" s="34"/>
      <c r="G17" s="34"/>
      <c r="H17" s="68"/>
      <c r="I17" s="68"/>
      <c r="J17" s="68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20"/>
      <c r="B18" s="120"/>
      <c r="C18" s="4"/>
      <c r="D18" s="8" t="s">
        <v>15</v>
      </c>
      <c r="E18" s="12">
        <f>I33</f>
        <v>0</v>
      </c>
      <c r="F18" s="34"/>
      <c r="G18" s="34"/>
      <c r="H18" s="68"/>
      <c r="I18" s="68"/>
      <c r="J18" s="68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70">
        <f>E17-E18</f>
        <v>4500</v>
      </c>
      <c r="F19" s="34"/>
      <c r="G19" s="34"/>
      <c r="H19" s="68"/>
      <c r="I19" s="68"/>
      <c r="J19" s="68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70">
        <f>SUMIF(' Data Save '!B:B,Print!B12,' Data Save '!J:J)-E19</f>
        <v>23300</v>
      </c>
      <c r="F20" s="34"/>
      <c r="G20" s="34"/>
      <c r="H20" s="68"/>
      <c r="I20" s="68"/>
      <c r="J20" s="68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27800</v>
      </c>
      <c r="F21" s="34"/>
      <c r="G21" s="34"/>
      <c r="H21" s="68"/>
      <c r="I21" s="68"/>
      <c r="J21" s="68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8"/>
      <c r="I22" s="68"/>
      <c r="J22" s="68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23">
        <f>IF(B1="Purchase",E21,"")</f>
        <v>27800</v>
      </c>
      <c r="B23" s="123"/>
      <c r="C23" s="122">
        <f>IF(B1="Purchase",L33,"")</f>
        <v>44407</v>
      </c>
      <c r="D23" s="122"/>
      <c r="E23" s="122"/>
      <c r="F23" s="34"/>
      <c r="G23" s="34"/>
      <c r="H23" s="68"/>
      <c r="I23" s="68"/>
      <c r="J23" s="68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8"/>
      <c r="I24" s="68"/>
      <c r="J24" s="68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8"/>
      <c r="I25" s="68"/>
      <c r="J25" s="68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8"/>
      <c r="I26" s="68"/>
      <c r="J26" s="68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8"/>
      <c r="I27" s="68"/>
      <c r="J27" s="68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21" t="s">
        <v>6</v>
      </c>
      <c r="B28" s="121"/>
      <c r="C28" s="121"/>
      <c r="D28" s="19" t="s">
        <v>4</v>
      </c>
      <c r="E28" s="19"/>
      <c r="F28" s="34"/>
      <c r="G28" s="34"/>
      <c r="H28" s="68"/>
      <c r="I28" s="68"/>
      <c r="J28" s="68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21" t="s">
        <v>7</v>
      </c>
      <c r="B29" s="121"/>
      <c r="C29" s="121"/>
      <c r="D29" s="19" t="s">
        <v>5</v>
      </c>
      <c r="E29" s="19"/>
      <c r="F29" s="34"/>
      <c r="G29" s="34"/>
      <c r="H29" s="68"/>
      <c r="I29" s="68"/>
      <c r="J29" s="68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8"/>
      <c r="I30" s="68"/>
      <c r="J30" s="68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8"/>
      <c r="I31" s="68"/>
      <c r="J31" s="68"/>
      <c r="S31" s="35"/>
    </row>
    <row r="32" spans="1:26" s="104" customFormat="1" ht="36" customHeight="1">
      <c r="A32" s="102">
        <v>1</v>
      </c>
      <c r="B32" s="102">
        <v>2</v>
      </c>
      <c r="C32" s="102">
        <v>3</v>
      </c>
      <c r="D32" s="102">
        <v>4</v>
      </c>
      <c r="E32" s="102">
        <v>5</v>
      </c>
      <c r="F32" s="102">
        <v>6</v>
      </c>
      <c r="G32" s="102">
        <v>7</v>
      </c>
      <c r="H32" s="103">
        <v>8</v>
      </c>
      <c r="I32" s="103">
        <v>9</v>
      </c>
      <c r="J32" s="103">
        <v>10</v>
      </c>
      <c r="K32" s="102">
        <v>11</v>
      </c>
      <c r="L32" s="102">
        <v>12</v>
      </c>
      <c r="M32" s="102">
        <v>13</v>
      </c>
      <c r="N32" s="102">
        <v>14</v>
      </c>
      <c r="O32" s="102">
        <v>15</v>
      </c>
      <c r="P32" s="102">
        <v>16</v>
      </c>
      <c r="Q32" s="102">
        <v>17</v>
      </c>
      <c r="R32" s="102">
        <v>18</v>
      </c>
      <c r="S32" s="102">
        <v>19</v>
      </c>
      <c r="T32" s="102">
        <v>20</v>
      </c>
      <c r="X32" s="105"/>
      <c r="Y32" s="105"/>
      <c r="Z32" s="105"/>
    </row>
    <row r="33" spans="1:20" ht="36" customHeight="1">
      <c r="A33" s="105"/>
      <c r="B33" s="106" t="str">
        <f>VLOOKUP(E11,' Data Save '!$A:$N,B32,0)</f>
        <v>SPR007</v>
      </c>
      <c r="C33" s="106">
        <f>VLOOKUP($E$11,' Data Save '!$A:$N,C32,0)</f>
        <v>0</v>
      </c>
      <c r="D33" s="107">
        <f>VLOOKUP($E$11,' Data Save '!$A:$N,D32,0)</f>
        <v>44387</v>
      </c>
      <c r="E33" s="106" t="str">
        <f>VLOOKUP($E$11,' Data Save '!$A:$N,E32,0)</f>
        <v xml:space="preserve">ေမာင္ျမင့္သူ </v>
      </c>
      <c r="F33" s="106" t="str">
        <f>VLOOKUP($E$11,' Data Save '!$A:$N,F32,0)</f>
        <v>ခရိုကၡနိ</v>
      </c>
      <c r="G33" s="106" t="str">
        <f>VLOOKUP($E$11,' Data Save '!$A:$N,G32,0)</f>
        <v>Tri Spare</v>
      </c>
      <c r="H33" s="108">
        <f>VLOOKUP($E$11,' Data Save '!$A:$N,H32,0)</f>
        <v>4500</v>
      </c>
      <c r="I33" s="108">
        <f>VLOOKUP($E$11,' Data Save '!$A:$N,I32,0)</f>
        <v>0</v>
      </c>
      <c r="J33" s="108">
        <f>VLOOKUP($E$11,' Data Save '!$A:$N,J32,0)</f>
        <v>4500</v>
      </c>
      <c r="K33" s="106">
        <f>VLOOKUP($E$11,' Data Save '!$A:$N,K32,0)</f>
        <v>0</v>
      </c>
      <c r="L33" s="107">
        <f>VLOOKUP($E$11,' Data Save '!$A:$N,L32,0)</f>
        <v>44407</v>
      </c>
      <c r="M33" s="106">
        <f>VLOOKUP($E$11,' Data Save '!$A:$N,M32,0)</f>
        <v>0</v>
      </c>
      <c r="N33" s="106">
        <f>VLOOKUP($E$11,' Data Save '!$A:$N,N32,0)</f>
        <v>0</v>
      </c>
      <c r="O33" s="106" t="e">
        <f>VLOOKUP($E$11,' Data Save '!$A:$N,O32,0)</f>
        <v>#REF!</v>
      </c>
      <c r="P33" s="106" t="e">
        <f>VLOOKUP($E$11,' Data Save '!$A:$N,P32,0)</f>
        <v>#REF!</v>
      </c>
      <c r="Q33" s="106" t="e">
        <f>VLOOKUP($E$11,' Data Save '!$A:$N,Q32,0)</f>
        <v>#REF!</v>
      </c>
      <c r="R33" s="105"/>
      <c r="S33" s="109"/>
      <c r="T33" s="105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COA</vt:lpstr>
      <vt:lpstr>Dashboard</vt:lpstr>
      <vt:lpstr> Data Save </vt:lpstr>
      <vt:lpstr>Total Balance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2021-08-14T06:25:17Z</cp:lastPrinted>
  <dcterms:created xsi:type="dcterms:W3CDTF">2020-05-10T22:03:17Z</dcterms:created>
  <dcterms:modified xsi:type="dcterms:W3CDTF">2021-08-14T06:25:46Z</dcterms:modified>
</cp:coreProperties>
</file>