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E:\(8)ဦးေၾကြးက်န္\"/>
    </mc:Choice>
  </mc:AlternateContent>
  <bookViews>
    <workbookView xWindow="0" yWindow="0" windowWidth="20460" windowHeight="7245" activeTab="2"/>
  </bookViews>
  <sheets>
    <sheet name="COA" sheetId="53" r:id="rId1"/>
    <sheet name="Dashboard" sheetId="46" r:id="rId2"/>
    <sheet name=" Data Save " sheetId="48" r:id="rId3"/>
    <sheet name="Total Balance" sheetId="54" r:id="rId4"/>
    <sheet name="Print" sheetId="50" r:id="rId5"/>
  </sheets>
  <definedNames>
    <definedName name="_xlnm.Print_Area" localSheetId="2">' Data Save '!#REF!</definedName>
    <definedName name="_xlnm.Print_Area" localSheetId="4">Print!$A$1:$E$31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54" l="1"/>
  <c r="D5" i="54"/>
  <c r="D6" i="54"/>
  <c r="D7" i="54"/>
  <c r="D8" i="54"/>
  <c r="D9" i="54"/>
  <c r="D10" i="54"/>
  <c r="D3" i="54"/>
  <c r="F4" i="48"/>
  <c r="C5" i="54"/>
  <c r="D12" i="54" l="1"/>
  <c r="F21" i="48"/>
  <c r="F22" i="48"/>
  <c r="F23" i="48"/>
  <c r="F24" i="48"/>
  <c r="E21" i="48"/>
  <c r="E22" i="48"/>
  <c r="E23" i="48"/>
  <c r="E24" i="48"/>
  <c r="D10" i="46" l="1"/>
  <c r="F6" i="48" l="1"/>
  <c r="F7" i="48"/>
  <c r="C7" i="54" s="1"/>
  <c r="E6" i="48"/>
  <c r="J5" i="46"/>
  <c r="F25" i="48" l="1"/>
  <c r="F27" i="48"/>
  <c r="F28" i="48"/>
  <c r="F29" i="48"/>
  <c r="F30" i="48"/>
  <c r="F31" i="48"/>
  <c r="F32" i="48"/>
  <c r="F33" i="48"/>
  <c r="E25" i="48"/>
  <c r="E27" i="48"/>
  <c r="E28" i="48"/>
  <c r="E29" i="48"/>
  <c r="E30" i="48"/>
  <c r="E31" i="48"/>
  <c r="E32" i="48"/>
  <c r="E33" i="48"/>
  <c r="F12" i="48"/>
  <c r="C9" i="54" s="1"/>
  <c r="F13" i="48"/>
  <c r="F14" i="48"/>
  <c r="C10" i="54" s="1"/>
  <c r="F15" i="48"/>
  <c r="F16" i="48"/>
  <c r="F17" i="48"/>
  <c r="F18" i="48"/>
  <c r="F19" i="48"/>
  <c r="F20" i="48"/>
  <c r="E12" i="48"/>
  <c r="B9" i="54" s="1"/>
  <c r="E13" i="48"/>
  <c r="E14" i="48"/>
  <c r="B10" i="54" s="1"/>
  <c r="E15" i="48"/>
  <c r="E16" i="48"/>
  <c r="E17" i="48"/>
  <c r="E18" i="48"/>
  <c r="E19" i="48"/>
  <c r="E20" i="48"/>
  <c r="E2" i="48"/>
  <c r="B3" i="54" s="1"/>
  <c r="B20" i="50" l="1"/>
  <c r="F8" i="48"/>
  <c r="F9" i="48"/>
  <c r="F10" i="48"/>
  <c r="C8" i="54" s="1"/>
  <c r="E8" i="48"/>
  <c r="E9" i="48"/>
  <c r="E10" i="48"/>
  <c r="B8" i="54" s="1"/>
  <c r="E11" i="48"/>
  <c r="F33" i="50"/>
  <c r="B11" i="50" s="1"/>
  <c r="G33" i="50"/>
  <c r="B16" i="50" s="1"/>
  <c r="H33" i="50"/>
  <c r="E16" i="50" s="1"/>
  <c r="I33" i="50"/>
  <c r="E18" i="50" s="1"/>
  <c r="J33" i="50"/>
  <c r="K33" i="50"/>
  <c r="L33" i="50"/>
  <c r="C23" i="50" s="1"/>
  <c r="M33" i="50"/>
  <c r="N33" i="50"/>
  <c r="O33" i="50"/>
  <c r="P33" i="50"/>
  <c r="Q33" i="50"/>
  <c r="D33" i="50"/>
  <c r="E10" i="50" s="1"/>
  <c r="C33" i="50"/>
  <c r="B33" i="50"/>
  <c r="B12" i="50" s="1"/>
  <c r="D6" i="46"/>
  <c r="D5" i="46"/>
  <c r="F3" i="48"/>
  <c r="C4" i="54" s="1"/>
  <c r="F5" i="48"/>
  <c r="C6" i="54" s="1"/>
  <c r="F11" i="48"/>
  <c r="F2" i="48"/>
  <c r="C3" i="54" s="1"/>
  <c r="E3" i="48"/>
  <c r="B4" i="54" s="1"/>
  <c r="E4" i="48"/>
  <c r="B5" i="54" s="1"/>
  <c r="E5" i="48"/>
  <c r="E7" i="48"/>
  <c r="B7" i="54" s="1"/>
  <c r="E33" i="50" l="1"/>
  <c r="B10" i="50" s="1"/>
  <c r="B6" i="54"/>
  <c r="D24" i="50"/>
  <c r="A4" i="46" l="1"/>
  <c r="A16" i="50" l="1"/>
  <c r="E17" i="50"/>
  <c r="E19" i="50" s="1"/>
  <c r="E20" i="50" s="1"/>
  <c r="E21" i="50" l="1"/>
  <c r="A23" i="50" s="1"/>
</calcChain>
</file>

<file path=xl/sharedStrings.xml><?xml version="1.0" encoding="utf-8"?>
<sst xmlns="http://schemas.openxmlformats.org/spreadsheetml/2006/main" count="157" uniqueCount="66">
  <si>
    <t>Qty</t>
  </si>
  <si>
    <t>Price</t>
  </si>
  <si>
    <t>Amount</t>
  </si>
  <si>
    <t>Particular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</si>
  <si>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</si>
  <si>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</si>
  <si>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</si>
  <si>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</si>
  <si>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</si>
  <si>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</si>
  <si>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</si>
  <si>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</si>
  <si>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</si>
  <si>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</si>
  <si>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သင့္ေငြ</t>
  </si>
  <si>
    <t>ေပးေငြ</t>
  </si>
  <si>
    <t xml:space="preserve">စုစုေပါင္း </t>
  </si>
  <si>
    <t>က်န္ေငြစုစုေပါင္း</t>
  </si>
  <si>
    <t>S.No</t>
  </si>
  <si>
    <t>ေဘာက္ခ်ာနံပါတ္</t>
  </si>
  <si>
    <t>ဝါးေသာက္</t>
  </si>
  <si>
    <t>သဲကုန္းတန္း</t>
  </si>
  <si>
    <t>ေၾကြးဆပ္ေန႔စြဲ</t>
  </si>
  <si>
    <t>(8)ဦး ေၾကြးက်န္စာရင္း</t>
  </si>
  <si>
    <t>ဝယ္သူကုဒ္နံပါတ္</t>
  </si>
  <si>
    <t>SPR001</t>
  </si>
  <si>
    <t>Tri Spare</t>
  </si>
  <si>
    <t>SPR002</t>
  </si>
  <si>
    <t>SPR003</t>
  </si>
  <si>
    <t>SPR004</t>
  </si>
  <si>
    <t>SPR005</t>
  </si>
  <si>
    <t>SPR006</t>
  </si>
  <si>
    <t>SPR007</t>
  </si>
  <si>
    <t>SPR008</t>
  </si>
  <si>
    <t xml:space="preserve">ကိုခ်စ္ေက်ာ္သူ </t>
  </si>
  <si>
    <t xml:space="preserve">ကိုမ်ိဳးသူ </t>
  </si>
  <si>
    <t>ကိုကိုင္ဇာေဌး</t>
  </si>
  <si>
    <t xml:space="preserve">ကိုေက်ာ္စိုး </t>
  </si>
  <si>
    <t>ကိုသန္႔ဇင္</t>
  </si>
  <si>
    <t xml:space="preserve">ကိုတင္လွ </t>
  </si>
  <si>
    <t>မဝန္း</t>
  </si>
  <si>
    <t xml:space="preserve">ေမာင္ျမင့္သူ </t>
  </si>
  <si>
    <t>ခရိုကၡနိ</t>
  </si>
  <si>
    <t xml:space="preserve">ဦးေဇာ္ေထြး </t>
  </si>
  <si>
    <t>Engine spare</t>
  </si>
  <si>
    <t>Purchase</t>
  </si>
  <si>
    <t>ယခင္က်န္ေငြ</t>
  </si>
  <si>
    <t>ကုဒ္နံပါတ္</t>
  </si>
  <si>
    <t>က်န္ေငြေပါင္း</t>
  </si>
  <si>
    <t>ယခုက်န္ေငြ</t>
  </si>
  <si>
    <t>Customer Name</t>
  </si>
  <si>
    <t>Customer Code</t>
  </si>
  <si>
    <t>Adds</t>
  </si>
  <si>
    <t>ေၾကြးက်န္စုစုေပါင္း</t>
  </si>
  <si>
    <t>Engine Spare</t>
  </si>
  <si>
    <t>ေငြလႊဲ</t>
  </si>
  <si>
    <t>ေရေမာ္တာ</t>
  </si>
  <si>
    <t>ေရျမွဳပ္ပန္႔</t>
  </si>
  <si>
    <t>Sales2</t>
  </si>
  <si>
    <t>နတ္</t>
  </si>
  <si>
    <t>SPR009</t>
  </si>
  <si>
    <t>ဦးသန္းဦး</t>
  </si>
  <si>
    <t>လက္ခုတ္ကုန္း</t>
  </si>
  <si>
    <t>ေၾကြးဆပ္</t>
  </si>
  <si>
    <t>Total</t>
  </si>
  <si>
    <t>(8) ဦး ရရန္ေၾကြးစာရင္း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</si>
</sst>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11"/>
      <color theme="9" tint="-0.499984740745262"/>
      <name val="Zawgyi-One"/>
      <family val="2"/>
    </font>
    <font>
      <b/>
      <sz val="11"/>
      <color theme="0"/>
      <name val="Zawgyi-One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8" fontId="1" fillId="0" borderId="0" xfId="0" applyNumberFormat="1" applyFont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164" fontId="4" fillId="4" borderId="11" xfId="1" applyNumberFormat="1" applyFont="1" applyFill="1" applyBorder="1" applyAlignment="1">
      <alignment horizontal="center" vertical="center" wrapText="1"/>
    </xf>
    <xf numFmtId="169" fontId="1" fillId="2" borderId="0" xfId="1" applyNumberFormat="1" applyFont="1" applyFill="1" applyBorder="1" applyAlignment="1">
      <alignment horizontal="center"/>
    </xf>
    <xf numFmtId="164" fontId="1" fillId="3" borderId="0" xfId="1" applyNumberFormat="1" applyFont="1" applyFill="1"/>
    <xf numFmtId="164" fontId="6" fillId="5" borderId="0" xfId="1" applyNumberFormat="1" applyFont="1" applyFill="1" applyBorder="1" applyAlignment="1">
      <alignment vertical="center"/>
    </xf>
    <xf numFmtId="164" fontId="1" fillId="0" borderId="1" xfId="0" applyNumberFormat="1" applyFont="1" applyBorder="1"/>
    <xf numFmtId="169" fontId="4" fillId="4" borderId="10" xfId="0" applyNumberFormat="1" applyFont="1" applyFill="1" applyBorder="1" applyAlignment="1">
      <alignment horizontal="center" vertical="center" wrapText="1"/>
    </xf>
    <xf numFmtId="169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165" fontId="4" fillId="8" borderId="4" xfId="0" applyNumberFormat="1" applyFont="1" applyFill="1" applyBorder="1" applyAlignment="1">
      <alignment horizontal="right" vertical="center" wrapText="1"/>
    </xf>
    <xf numFmtId="0" fontId="4" fillId="8" borderId="4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164" fontId="4" fillId="8" borderId="5" xfId="1" applyNumberFormat="1" applyFont="1" applyFill="1" applyBorder="1" applyAlignment="1">
      <alignment horizontal="right" vertical="center" wrapText="1"/>
    </xf>
    <xf numFmtId="165" fontId="4" fillId="8" borderId="5" xfId="0" applyNumberFormat="1" applyFont="1" applyFill="1" applyBorder="1" applyAlignment="1">
      <alignment horizontal="right" vertical="center" wrapText="1"/>
    </xf>
    <xf numFmtId="0" fontId="1" fillId="8" borderId="0" xfId="0" applyFont="1" applyFill="1" applyAlignment="1">
      <alignment horizontal="right"/>
    </xf>
    <xf numFmtId="0" fontId="1" fillId="8" borderId="0" xfId="0" applyFont="1" applyFill="1" applyAlignment="1">
      <alignment horizontal="center"/>
    </xf>
    <xf numFmtId="164" fontId="1" fillId="8" borderId="0" xfId="1" applyNumberFormat="1" applyFont="1" applyFill="1" applyAlignment="1">
      <alignment horizontal="center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1" fillId="0" borderId="1" xfId="0" applyFont="1" applyBorder="1"/>
    <xf numFmtId="164" fontId="4" fillId="4" borderId="11" xfId="1" applyNumberFormat="1" applyFont="1" applyFill="1" applyBorder="1" applyAlignment="1">
      <alignment horizontal="center" wrapText="1"/>
    </xf>
    <xf numFmtId="164" fontId="2" fillId="10" borderId="0" xfId="1" applyNumberFormat="1" applyFont="1" applyFill="1"/>
    <xf numFmtId="0" fontId="2" fillId="10" borderId="0" xfId="0" applyFont="1" applyFill="1"/>
    <xf numFmtId="169" fontId="1" fillId="0" borderId="1" xfId="0" applyNumberFormat="1" applyFon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64" fontId="1" fillId="2" borderId="1" xfId="1" applyNumberFormat="1" applyFont="1" applyFill="1" applyBorder="1" applyAlignment="1">
      <alignment horizontal="center" vertical="center"/>
    </xf>
    <xf numFmtId="0" fontId="1" fillId="2" borderId="9" xfId="0" applyFont="1" applyFill="1" applyBorder="1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64" fontId="2" fillId="2" borderId="1" xfId="1" applyNumberFormat="1" applyFont="1" applyFill="1" applyBorder="1" applyAlignment="1">
      <alignment horizontal="center" vertical="center"/>
    </xf>
    <xf numFmtId="14" fontId="1" fillId="2" borderId="1" xfId="0" applyNumberFormat="1" applyFont="1" applyFill="1" applyBorder="1"/>
    <xf numFmtId="0" fontId="1" fillId="2" borderId="0" xfId="0" applyFont="1" applyFill="1" applyBorder="1"/>
    <xf numFmtId="167" fontId="4" fillId="4" borderId="10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164" fontId="1" fillId="0" borderId="0" xfId="1" applyNumberFormat="1" applyFont="1"/>
    <xf numFmtId="164" fontId="2" fillId="0" borderId="12" xfId="1" applyNumberFormat="1" applyFont="1" applyBorder="1"/>
    <xf numFmtId="164" fontId="4" fillId="4" borderId="0" xfId="1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4" fillId="4" borderId="1" xfId="1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7" fontId="1" fillId="0" borderId="0" xfId="0" applyNumberFormat="1" applyFont="1"/>
    <xf numFmtId="169" fontId="1" fillId="11" borderId="0" xfId="0" applyNumberFormat="1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167" fontId="1" fillId="11" borderId="0" xfId="0" applyNumberFormat="1" applyFont="1" applyFill="1" applyAlignment="1">
      <alignment horizontal="center"/>
    </xf>
    <xf numFmtId="0" fontId="1" fillId="11" borderId="0" xfId="0" applyFont="1" applyFill="1" applyBorder="1" applyAlignment="1">
      <alignment horizontal="center"/>
    </xf>
    <xf numFmtId="164" fontId="1" fillId="11" borderId="0" xfId="1" applyNumberFormat="1" applyFont="1" applyFill="1" applyAlignment="1">
      <alignment horizontal="center"/>
    </xf>
    <xf numFmtId="167" fontId="1" fillId="11" borderId="0" xfId="0" applyNumberFormat="1" applyFont="1" applyFill="1" applyBorder="1" applyAlignment="1">
      <alignment horizontal="center"/>
    </xf>
    <xf numFmtId="165" fontId="1" fillId="11" borderId="0" xfId="0" applyNumberFormat="1" applyFont="1" applyFill="1" applyAlignment="1">
      <alignment horizont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228600</xdr:rowOff>
        </xdr:from>
        <xdr:to>
          <xdr:col>7</xdr:col>
          <xdr:colOff>123825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7</xdr:row>
          <xdr:rowOff>0</xdr:rowOff>
        </xdr:from>
        <xdr:to>
          <xdr:col>7</xdr:col>
          <xdr:colOff>104775</xdr:colOff>
          <xdr:row>7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/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7</xdr:col>
      <xdr:colOff>657225</xdr:colOff>
      <xdr:row>22</xdr:row>
      <xdr:rowOff>38100</xdr:rowOff>
    </xdr:to>
    <xdr:sp macro="[0]!Moven" textlink="">
      <xdr:nvSpPr>
        <xdr:cNvPr id="6" name="Rounded Rectangle 5"/>
        <xdr:cNvSpPr/>
      </xdr:nvSpPr>
      <xdr:spPr>
        <a:xfrm>
          <a:off x="7686675" y="6188075"/>
          <a:ext cx="1066800" cy="41275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ibl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225424</xdr:rowOff>
    </xdr:from>
    <xdr:to>
      <xdr:col>6</xdr:col>
      <xdr:colOff>857377</xdr:colOff>
      <xdr:row>21</xdr:row>
      <xdr:rowOff>250951</xdr:rowOff>
    </xdr:to>
    <xdr:sp macro="[0]!Moven" textlink="">
      <xdr:nvSpPr>
        <xdr:cNvPr id="7" name="MoveBtn"/>
        <xdr:cNvSpPr/>
      </xdr:nvSpPr>
      <xdr:spPr>
        <a:xfrm>
          <a:off x="7747000" y="6235699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476250</xdr:colOff>
      <xdr:row>18</xdr:row>
      <xdr:rowOff>177800</xdr:rowOff>
    </xdr:from>
    <xdr:to>
      <xdr:col>7</xdr:col>
      <xdr:colOff>596900</xdr:colOff>
      <xdr:row>20</xdr:row>
      <xdr:rowOff>9525</xdr:rowOff>
    </xdr:to>
    <xdr:sp macro="[0]!Moven2" textlink="">
      <xdr:nvSpPr>
        <xdr:cNvPr id="8" name="Rounded Rectangle 7"/>
        <xdr:cNvSpPr/>
      </xdr:nvSpPr>
      <xdr:spPr>
        <a:xfrm>
          <a:off x="7667625" y="5635625"/>
          <a:ext cx="1025525" cy="384175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253999</xdr:colOff>
      <xdr:row>18</xdr:row>
      <xdr:rowOff>215899</xdr:rowOff>
    </xdr:from>
    <xdr:to>
      <xdr:col>7</xdr:col>
      <xdr:colOff>555751</xdr:colOff>
      <xdr:row>19</xdr:row>
      <xdr:rowOff>241426</xdr:rowOff>
    </xdr:to>
    <xdr:sp macro="[0]!Moven2" textlink="">
      <xdr:nvSpPr>
        <xdr:cNvPr id="9" name="MoveBtn2"/>
        <xdr:cNvSpPr/>
      </xdr:nvSpPr>
      <xdr:spPr>
        <a:xfrm>
          <a:off x="8350249" y="5673724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/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/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/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/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G12" sqref="G12"/>
    </sheetView>
  </sheetViews>
  <sheetFormatPr defaultColWidth="8.7109375" defaultRowHeight="21.75"/>
  <cols>
    <col min="1" max="1" width="17.85546875" style="3" bestFit="1" customWidth="1"/>
    <col min="2" max="2" width="21.85546875" style="3" bestFit="1" customWidth="1"/>
    <col min="3" max="3" width="13.42578125" style="3" bestFit="1" customWidth="1"/>
    <col min="4" max="6" width="8.7109375" style="3"/>
    <col min="7" max="7" width="13.140625" style="3" bestFit="1" customWidth="1"/>
    <col min="8" max="16384" width="8.7109375" style="3"/>
  </cols>
  <sheetData>
    <row r="1" spans="1:7">
      <c r="A1" s="85" t="s">
        <v>51</v>
      </c>
      <c r="B1" s="85" t="s">
        <v>50</v>
      </c>
      <c r="C1" s="85" t="s">
        <v>52</v>
      </c>
    </row>
    <row r="2" spans="1:7">
      <c r="A2" s="86" t="s">
        <v>25</v>
      </c>
      <c r="B2" s="86" t="s">
        <v>34</v>
      </c>
      <c r="C2" s="86" t="s">
        <v>20</v>
      </c>
      <c r="G2" s="3" t="s">
        <v>26</v>
      </c>
    </row>
    <row r="3" spans="1:7">
      <c r="A3" s="86" t="s">
        <v>27</v>
      </c>
      <c r="B3" s="86" t="s">
        <v>35</v>
      </c>
      <c r="C3" s="86" t="s">
        <v>20</v>
      </c>
      <c r="G3" s="3" t="s">
        <v>54</v>
      </c>
    </row>
    <row r="4" spans="1:7">
      <c r="A4" s="86" t="s">
        <v>28</v>
      </c>
      <c r="B4" s="86" t="s">
        <v>36</v>
      </c>
      <c r="C4" s="86" t="s">
        <v>20</v>
      </c>
      <c r="G4" s="3" t="s">
        <v>55</v>
      </c>
    </row>
    <row r="5" spans="1:7">
      <c r="A5" s="86" t="s">
        <v>29</v>
      </c>
      <c r="B5" s="86" t="s">
        <v>37</v>
      </c>
      <c r="C5" s="86" t="s">
        <v>20</v>
      </c>
      <c r="G5" s="3" t="s">
        <v>56</v>
      </c>
    </row>
    <row r="6" spans="1:7">
      <c r="A6" s="86" t="s">
        <v>30</v>
      </c>
      <c r="B6" s="86" t="s">
        <v>38</v>
      </c>
      <c r="C6" s="86" t="s">
        <v>20</v>
      </c>
      <c r="G6" s="3" t="s">
        <v>57</v>
      </c>
    </row>
    <row r="7" spans="1:7">
      <c r="A7" s="86" t="s">
        <v>31</v>
      </c>
      <c r="B7" s="86" t="s">
        <v>39</v>
      </c>
      <c r="C7" s="86" t="s">
        <v>40</v>
      </c>
    </row>
    <row r="8" spans="1:7">
      <c r="A8" s="86" t="s">
        <v>32</v>
      </c>
      <c r="B8" s="86" t="s">
        <v>41</v>
      </c>
      <c r="C8" s="86" t="s">
        <v>42</v>
      </c>
    </row>
    <row r="9" spans="1:7">
      <c r="A9" s="86" t="s">
        <v>33</v>
      </c>
      <c r="B9" s="86" t="s">
        <v>43</v>
      </c>
      <c r="C9" s="86" t="s">
        <v>21</v>
      </c>
    </row>
    <row r="10" spans="1:7">
      <c r="A10" s="86" t="s">
        <v>60</v>
      </c>
      <c r="B10" s="86" t="s">
        <v>61</v>
      </c>
      <c r="C10" s="86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9"/>
  <sheetViews>
    <sheetView topLeftCell="B1" workbookViewId="0">
      <selection activeCell="D2" sqref="D2"/>
    </sheetView>
  </sheetViews>
  <sheetFormatPr defaultColWidth="8.7109375" defaultRowHeight="21.75"/>
  <cols>
    <col min="1" max="1" width="8.7109375" style="73"/>
    <col min="2" max="2" width="8.7109375" style="39"/>
    <col min="3" max="3" width="21.85546875" style="40" customWidth="1"/>
    <col min="4" max="4" width="25.42578125" style="41" customWidth="1"/>
    <col min="5" max="8" width="8.7109375" style="73"/>
    <col min="9" max="9" width="19.140625" style="73" bestFit="1" customWidth="1"/>
    <col min="10" max="10" width="15.28515625" style="73" bestFit="1" customWidth="1"/>
    <col min="11" max="11" width="17.85546875" style="73" customWidth="1"/>
    <col min="12" max="25" width="8.7109375" style="73"/>
    <col min="26" max="16384" width="8.7109375" style="39"/>
  </cols>
  <sheetData>
    <row r="1" spans="1:17" ht="33.75" thickBot="1">
      <c r="A1" s="75"/>
      <c r="B1" s="75"/>
      <c r="C1" s="76" t="s">
        <v>19</v>
      </c>
      <c r="D1" s="53">
        <v>46</v>
      </c>
      <c r="E1" s="75"/>
      <c r="F1" s="118" t="s">
        <v>23</v>
      </c>
      <c r="G1" s="119"/>
      <c r="H1" s="119"/>
      <c r="I1" s="119"/>
      <c r="J1" s="119"/>
      <c r="K1" s="120"/>
      <c r="L1" s="75"/>
      <c r="M1" s="75"/>
      <c r="N1" s="75"/>
      <c r="O1" s="75"/>
      <c r="P1" s="75"/>
      <c r="Q1" s="75"/>
    </row>
    <row r="2" spans="1:17" ht="22.5">
      <c r="A2" s="75"/>
      <c r="B2" s="75"/>
      <c r="C2" s="76" t="s">
        <v>24</v>
      </c>
      <c r="D2" s="53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1:17" ht="22.5" hidden="1">
      <c r="A3" s="75"/>
      <c r="B3" s="75"/>
      <c r="C3" s="76"/>
      <c r="D3" s="49">
        <v>44260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ht="22.5">
      <c r="A4" s="84" t="b">
        <f>Dashboard!D1=IF(B4="","",ROW(1:1))</f>
        <v>0</v>
      </c>
      <c r="B4" s="75"/>
      <c r="C4" s="76" t="s">
        <v>8</v>
      </c>
      <c r="D4" s="49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ht="22.5">
      <c r="A5" s="75"/>
      <c r="B5" s="75"/>
      <c r="C5" s="77" t="s">
        <v>9</v>
      </c>
      <c r="D5" s="37" t="str">
        <f>IFERROR(VLOOKUP(D2,COA!A:C,2,0),"-")</f>
        <v>-</v>
      </c>
      <c r="E5" s="75"/>
      <c r="F5" s="75"/>
      <c r="G5" s="75"/>
      <c r="H5" s="75"/>
      <c r="I5" s="89" t="s">
        <v>53</v>
      </c>
      <c r="J5" s="88">
        <f>SUM(' Data Save '!J2:J44)</f>
        <v>560100</v>
      </c>
      <c r="K5" s="75"/>
      <c r="L5" s="75"/>
      <c r="M5" s="75"/>
      <c r="N5" s="75"/>
      <c r="O5" s="75"/>
      <c r="P5" s="75"/>
      <c r="Q5" s="75"/>
    </row>
    <row r="6" spans="1:17" ht="22.5">
      <c r="A6" s="75"/>
      <c r="B6" s="75"/>
      <c r="C6" s="77" t="s">
        <v>10</v>
      </c>
      <c r="D6" s="37" t="str">
        <f>IFERROR(VLOOKUP(D2,COA!A:C,3,0),"-")</f>
        <v>-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2.5">
      <c r="A7" s="75"/>
      <c r="B7" s="75"/>
      <c r="C7" s="78" t="s">
        <v>13</v>
      </c>
      <c r="D7" s="37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</row>
    <row r="8" spans="1:17" ht="21.95" customHeight="1">
      <c r="A8" s="75"/>
      <c r="B8" s="75"/>
      <c r="C8" s="79" t="s">
        <v>14</v>
      </c>
      <c r="D8" s="9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</row>
    <row r="9" spans="1:17" ht="22.5">
      <c r="A9" s="75"/>
      <c r="B9" s="75"/>
      <c r="C9" s="79" t="s">
        <v>15</v>
      </c>
      <c r="D9" s="9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</row>
    <row r="10" spans="1:17" ht="22.5">
      <c r="A10" s="75"/>
      <c r="B10" s="75"/>
      <c r="C10" s="79" t="s">
        <v>17</v>
      </c>
      <c r="D10" s="9">
        <f>D8-D9</f>
        <v>0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</row>
    <row r="11" spans="1:17" ht="22.5" hidden="1">
      <c r="A11" s="75"/>
      <c r="B11" s="75"/>
      <c r="C11" s="79"/>
      <c r="D11" s="49">
        <v>44286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</row>
    <row r="12" spans="1:17" ht="22.5">
      <c r="A12" s="75"/>
      <c r="B12" s="75"/>
      <c r="C12" s="80" t="s">
        <v>22</v>
      </c>
      <c r="D12" s="49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</row>
    <row r="13" spans="1:17" s="74" customFormat="1">
      <c r="A13" s="75"/>
      <c r="B13" s="75"/>
      <c r="C13" s="81"/>
      <c r="D13" s="83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</row>
    <row r="14" spans="1:17" s="74" customFormat="1">
      <c r="A14" s="75"/>
      <c r="B14" s="75"/>
      <c r="C14" s="81"/>
      <c r="D14" s="83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</row>
    <row r="15" spans="1:17" s="74" customFormat="1">
      <c r="A15" s="75"/>
      <c r="B15" s="75"/>
      <c r="C15" s="81"/>
      <c r="D15" s="83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</row>
    <row r="16" spans="1:17" s="74" customFormat="1">
      <c r="A16" s="75"/>
      <c r="B16" s="75"/>
      <c r="C16" s="81"/>
      <c r="D16" s="82"/>
      <c r="E16" s="75"/>
      <c r="F16" s="75"/>
      <c r="G16" s="75"/>
      <c r="H16" s="75"/>
      <c r="I16" s="75"/>
      <c r="J16" s="82"/>
      <c r="K16" s="75"/>
      <c r="L16" s="75"/>
      <c r="M16" s="75"/>
      <c r="N16" s="75"/>
      <c r="O16" s="75"/>
      <c r="P16" s="75"/>
      <c r="Q16" s="75"/>
    </row>
    <row r="17" spans="1:17" s="74" customFormat="1">
      <c r="A17" s="75"/>
      <c r="B17" s="75"/>
      <c r="C17" s="81"/>
      <c r="D17" s="82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</row>
    <row r="18" spans="1:17" s="74" customFormat="1">
      <c r="A18" s="75"/>
      <c r="B18" s="75"/>
      <c r="C18" s="81"/>
      <c r="D18" s="82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</row>
    <row r="19" spans="1:17" s="74" customFormat="1">
      <c r="A19" s="75"/>
      <c r="B19" s="75"/>
      <c r="C19" s="81"/>
      <c r="D19" s="82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</row>
    <row r="20" spans="1:17">
      <c r="A20" s="75"/>
      <c r="B20" s="75"/>
      <c r="C20" s="81"/>
      <c r="D20" s="82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</row>
    <row r="21" spans="1:17">
      <c r="A21" s="75"/>
      <c r="B21" s="75"/>
      <c r="C21" s="81"/>
      <c r="D21" s="82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</row>
    <row r="22" spans="1:17">
      <c r="A22" s="75"/>
      <c r="B22" s="75"/>
      <c r="C22" s="81"/>
      <c r="D22" s="82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</row>
    <row r="23" spans="1:17">
      <c r="A23" s="75"/>
      <c r="B23" s="75"/>
      <c r="C23" s="81"/>
      <c r="D23" s="82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</row>
    <row r="24" spans="1:17">
      <c r="A24" s="75"/>
      <c r="B24" s="75"/>
      <c r="C24" s="81"/>
      <c r="D24" s="82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</row>
    <row r="25" spans="1:17">
      <c r="A25" s="75"/>
      <c r="B25" s="75"/>
      <c r="C25" s="81"/>
      <c r="D25" s="82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</row>
    <row r="26" spans="1:17">
      <c r="A26" s="75"/>
      <c r="B26" s="75"/>
      <c r="C26" s="81"/>
      <c r="D26" s="82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</row>
    <row r="27" spans="1:17">
      <c r="A27" s="75"/>
      <c r="B27" s="75"/>
      <c r="C27" s="81"/>
      <c r="D27" s="82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</row>
    <row r="28" spans="1:17">
      <c r="A28" s="75"/>
      <c r="B28" s="75"/>
      <c r="C28" s="81"/>
      <c r="D28" s="82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</row>
    <row r="29" spans="1:17">
      <c r="A29" s="75"/>
      <c r="B29" s="75"/>
      <c r="C29" s="81"/>
      <c r="D29" s="82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</row>
  </sheetData>
  <mergeCells count="1">
    <mergeCell ref="F1:K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219075</xdr:colOff>
                    <xdr:row>2</xdr:row>
                    <xdr:rowOff>228600</xdr:rowOff>
                  </from>
                  <to>
                    <xdr:col>7</xdr:col>
                    <xdr:colOff>123825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7</xdr:row>
                    <xdr:rowOff>0</xdr:rowOff>
                  </from>
                  <to>
                    <xdr:col>7</xdr:col>
                    <xdr:colOff>104775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COA!$A$2:$A$12</xm:f>
          </x14:formula1>
          <xm:sqref>D2</xm:sqref>
        </x14:dataValidation>
        <x14:dataValidation type="list" errorStyle="warning" allowBlank="1" showInputMessage="1" showErrorMessage="1">
          <x14:formula1>
            <xm:f>COA!$G$2:$G$13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43"/>
  <sheetViews>
    <sheetView tabSelected="1" topLeftCell="A31" zoomScale="104" zoomScaleNormal="104" workbookViewId="0">
      <selection activeCell="A34" sqref="A34"/>
    </sheetView>
  </sheetViews>
  <sheetFormatPr defaultColWidth="9.42578125" defaultRowHeight="27.95" customHeight="1"/>
  <cols>
    <col min="1" max="1" width="19.42578125" style="72" customWidth="1"/>
    <col min="2" max="2" width="18" style="38" customWidth="1"/>
    <col min="3" max="3" width="18" style="50" hidden="1" customWidth="1"/>
    <col min="4" max="4" width="18" style="50" customWidth="1"/>
    <col min="5" max="5" width="13.5703125" style="38" bestFit="1" customWidth="1"/>
    <col min="6" max="7" width="18" style="38" customWidth="1"/>
    <col min="8" max="10" width="18" style="59" customWidth="1"/>
    <col min="11" max="11" width="0.28515625" style="38" customWidth="1"/>
    <col min="12" max="12" width="18" style="61" customWidth="1"/>
    <col min="13" max="17" width="9.42578125" style="59"/>
    <col min="18" max="18" width="9.42578125" style="58"/>
    <col min="19" max="21" width="9.42578125" style="59"/>
    <col min="22" max="16384" width="9.42578125" style="38"/>
  </cols>
  <sheetData>
    <row r="1" spans="1:15" ht="27.95" customHeight="1">
      <c r="A1" s="71" t="s">
        <v>19</v>
      </c>
      <c r="B1" s="63" t="s">
        <v>24</v>
      </c>
      <c r="C1" s="63"/>
      <c r="D1" s="100" t="s">
        <v>8</v>
      </c>
      <c r="E1" s="64" t="s">
        <v>9</v>
      </c>
      <c r="F1" s="64" t="s">
        <v>10</v>
      </c>
      <c r="G1" s="65" t="s">
        <v>13</v>
      </c>
      <c r="H1" s="66" t="s">
        <v>14</v>
      </c>
      <c r="I1" s="66" t="s">
        <v>15</v>
      </c>
      <c r="J1" s="87" t="s">
        <v>17</v>
      </c>
      <c r="K1" s="66"/>
      <c r="L1" s="87" t="s">
        <v>22</v>
      </c>
    </row>
    <row r="2" spans="1:15" ht="27.95" customHeight="1">
      <c r="A2" s="67">
        <v>1</v>
      </c>
      <c r="B2" s="67" t="s">
        <v>25</v>
      </c>
      <c r="C2" s="61"/>
      <c r="D2" s="61">
        <v>44307</v>
      </c>
      <c r="E2" s="15" t="str">
        <f>IFERROR(VLOOKUP(B2,COA!A:C,2,0),"-")</f>
        <v xml:space="preserve">ကိုခ်စ္ေက်ာ္သူ </v>
      </c>
      <c r="F2" s="15" t="str">
        <f>IFERROR(VLOOKUP($B2,COA!$A:$C,3,0),"-")</f>
        <v>ဝါးေသာက္</v>
      </c>
      <c r="G2" s="15" t="s">
        <v>26</v>
      </c>
      <c r="H2" s="60">
        <v>142500</v>
      </c>
      <c r="I2" s="60"/>
      <c r="J2" s="60">
        <v>142500</v>
      </c>
      <c r="K2" s="61"/>
      <c r="L2" s="61">
        <v>44316</v>
      </c>
      <c r="M2" s="60"/>
      <c r="N2" s="60"/>
      <c r="O2" s="60"/>
    </row>
    <row r="3" spans="1:15" ht="27.95" customHeight="1">
      <c r="A3" s="67">
        <v>2</v>
      </c>
      <c r="B3" s="67" t="s">
        <v>27</v>
      </c>
      <c r="C3" s="61"/>
      <c r="D3" s="61">
        <v>44308</v>
      </c>
      <c r="E3" s="15" t="str">
        <f>IFERROR(VLOOKUP(B3,COA!A:C,2,0),"-")</f>
        <v xml:space="preserve">ကိုမ်ိဳးသူ </v>
      </c>
      <c r="F3" s="15" t="str">
        <f>IFERROR(VLOOKUP($B3,COA!$A:$C,3,0),"-")</f>
        <v>ဝါးေသာက္</v>
      </c>
      <c r="G3" s="15" t="s">
        <v>26</v>
      </c>
      <c r="H3" s="60">
        <v>141100</v>
      </c>
      <c r="I3" s="60">
        <v>0</v>
      </c>
      <c r="J3" s="60">
        <v>141100</v>
      </c>
      <c r="K3" s="61"/>
      <c r="L3" s="61">
        <v>44316</v>
      </c>
      <c r="M3" s="60"/>
      <c r="N3" s="60"/>
      <c r="O3" s="60"/>
    </row>
    <row r="4" spans="1:15" ht="27.95" customHeight="1">
      <c r="A4" s="67">
        <v>3</v>
      </c>
      <c r="B4" s="67" t="s">
        <v>28</v>
      </c>
      <c r="C4" s="61"/>
      <c r="D4" s="61">
        <v>44308</v>
      </c>
      <c r="E4" s="15" t="str">
        <f>IFERROR(VLOOKUP(B4,COA!A:C,2,0),"-")</f>
        <v>ကိုကိုင္ဇာေဌး</v>
      </c>
      <c r="F4" s="15" t="str">
        <f>IFERROR(VLOOKUP($B4,COA!$A:$C,3,0),"-")</f>
        <v>ဝါးေသာက္</v>
      </c>
      <c r="G4" s="15" t="s">
        <v>26</v>
      </c>
      <c r="H4" s="60">
        <v>41700</v>
      </c>
      <c r="I4" s="60">
        <v>0</v>
      </c>
      <c r="J4" s="60">
        <v>41700</v>
      </c>
      <c r="K4" s="61"/>
      <c r="L4" s="61">
        <v>44316</v>
      </c>
      <c r="M4" s="60"/>
      <c r="N4" s="60"/>
      <c r="O4" s="60"/>
    </row>
    <row r="5" spans="1:15" ht="27.95" customHeight="1">
      <c r="A5" s="67">
        <v>4</v>
      </c>
      <c r="B5" s="67" t="s">
        <v>29</v>
      </c>
      <c r="C5" s="61"/>
      <c r="D5" s="61">
        <v>44308</v>
      </c>
      <c r="E5" s="15" t="str">
        <f>IFERROR(VLOOKUP(B5,COA!A:C,2,0),"-")</f>
        <v xml:space="preserve">ကိုေက်ာ္စိုး </v>
      </c>
      <c r="F5" s="15" t="str">
        <f>IFERROR(VLOOKUP($B5,COA!$A:$C,3,0),"-")</f>
        <v>ဝါးေသာက္</v>
      </c>
      <c r="G5" s="15" t="s">
        <v>26</v>
      </c>
      <c r="H5" s="60">
        <v>63200</v>
      </c>
      <c r="I5" s="60"/>
      <c r="J5" s="60">
        <v>63200</v>
      </c>
      <c r="K5" s="61"/>
      <c r="L5" s="61">
        <v>44316</v>
      </c>
      <c r="M5" s="60"/>
      <c r="N5" s="60"/>
      <c r="O5" s="60"/>
    </row>
    <row r="6" spans="1:15" ht="27.95" customHeight="1">
      <c r="A6" s="67">
        <v>5</v>
      </c>
      <c r="B6" s="67" t="s">
        <v>29</v>
      </c>
      <c r="C6" s="61"/>
      <c r="D6" s="61">
        <v>44308</v>
      </c>
      <c r="E6" s="15" t="str">
        <f>IFERROR(VLOOKUP(B6,COA!A:C,2,0),"-")</f>
        <v xml:space="preserve">ကိုေက်ာ္စိုး </v>
      </c>
      <c r="F6" s="15" t="str">
        <f>IFERROR(VLOOKUP($B6,COA!$A:$C,3,0),"-")</f>
        <v>ဝါးေသာက္</v>
      </c>
      <c r="G6" s="15" t="s">
        <v>26</v>
      </c>
      <c r="H6" s="60">
        <v>12000</v>
      </c>
      <c r="I6" s="60"/>
      <c r="J6" s="60">
        <v>12000</v>
      </c>
      <c r="K6" s="61"/>
      <c r="L6" s="61">
        <v>44316</v>
      </c>
      <c r="M6" s="60"/>
      <c r="N6" s="60"/>
      <c r="O6" s="60"/>
    </row>
    <row r="7" spans="1:15" ht="27.95" customHeight="1">
      <c r="A7" s="67">
        <v>6</v>
      </c>
      <c r="B7" s="67" t="s">
        <v>30</v>
      </c>
      <c r="C7" s="61"/>
      <c r="D7" s="61">
        <v>44308</v>
      </c>
      <c r="E7" s="15" t="str">
        <f>IFERROR(VLOOKUP(B7,COA!A:C,2,0),"-")</f>
        <v>ကိုသန္႔ဇင္</v>
      </c>
      <c r="F7" s="15" t="str">
        <f>IFERROR(VLOOKUP($B7,COA!$A:$C,3,0),"-")</f>
        <v>ဝါးေသာက္</v>
      </c>
      <c r="G7" s="15" t="s">
        <v>26</v>
      </c>
      <c r="H7" s="60">
        <v>121200</v>
      </c>
      <c r="I7" s="60"/>
      <c r="J7" s="60">
        <v>121200</v>
      </c>
      <c r="K7" s="61"/>
      <c r="L7" s="61">
        <v>44316</v>
      </c>
      <c r="M7" s="60"/>
      <c r="N7" s="60"/>
      <c r="O7" s="60"/>
    </row>
    <row r="8" spans="1:15" ht="27.95" customHeight="1">
      <c r="A8" s="67">
        <v>7</v>
      </c>
      <c r="B8" s="67" t="s">
        <v>30</v>
      </c>
      <c r="C8" s="61"/>
      <c r="D8" s="61">
        <v>44308</v>
      </c>
      <c r="E8" s="15" t="str">
        <f>IFERROR(VLOOKUP(B8,COA!A:C,2,0),"-")</f>
        <v>ကိုသန္႔ဇင္</v>
      </c>
      <c r="F8" s="15" t="str">
        <f>IFERROR(VLOOKUP($B8,COA!$A:$C,3,0),"-")</f>
        <v>ဝါးေသာက္</v>
      </c>
      <c r="G8" s="15" t="s">
        <v>26</v>
      </c>
      <c r="H8" s="60"/>
      <c r="I8" s="60">
        <v>120000</v>
      </c>
      <c r="J8" s="60">
        <v>-120000</v>
      </c>
      <c r="K8" s="15"/>
      <c r="L8" s="61">
        <v>44316</v>
      </c>
      <c r="M8" s="60"/>
      <c r="N8" s="60"/>
      <c r="O8" s="60"/>
    </row>
    <row r="9" spans="1:15" ht="27.95" customHeight="1">
      <c r="A9" s="67">
        <v>8</v>
      </c>
      <c r="B9" s="67" t="s">
        <v>30</v>
      </c>
      <c r="C9" s="61"/>
      <c r="D9" s="61">
        <v>44308</v>
      </c>
      <c r="E9" s="15" t="str">
        <f>IFERROR(VLOOKUP(B9,COA!A:C,2,0),"-")</f>
        <v>ကိုသန္႔ဇင္</v>
      </c>
      <c r="F9" s="15" t="str">
        <f>IFERROR(VLOOKUP($B9,COA!$A:$C,3,0),"-")</f>
        <v>ဝါးေသာက္</v>
      </c>
      <c r="G9" s="15" t="s">
        <v>26</v>
      </c>
      <c r="H9" s="60">
        <v>8000</v>
      </c>
      <c r="I9" s="60"/>
      <c r="J9" s="60">
        <v>8000</v>
      </c>
      <c r="K9" s="15"/>
      <c r="L9" s="61">
        <v>44316</v>
      </c>
      <c r="M9" s="60"/>
      <c r="N9" s="60"/>
      <c r="O9" s="60"/>
    </row>
    <row r="10" spans="1:15" ht="27.95" customHeight="1">
      <c r="A10" s="67">
        <v>9</v>
      </c>
      <c r="B10" s="67" t="s">
        <v>31</v>
      </c>
      <c r="C10" s="61"/>
      <c r="D10" s="61">
        <v>44308</v>
      </c>
      <c r="E10" s="15" t="str">
        <f>IFERROR(VLOOKUP(B10,COA!A:C,2,0),"-")</f>
        <v xml:space="preserve">ကိုတင္လွ </v>
      </c>
      <c r="F10" s="15" t="str">
        <f>IFERROR(VLOOKUP($B10,COA!$A:$C,3,0),"-")</f>
        <v>မဝန္း</v>
      </c>
      <c r="G10" s="15" t="s">
        <v>26</v>
      </c>
      <c r="H10" s="60">
        <v>61700</v>
      </c>
      <c r="I10" s="60"/>
      <c r="J10" s="60">
        <v>61700</v>
      </c>
      <c r="K10" s="15"/>
      <c r="L10" s="61">
        <v>44316</v>
      </c>
      <c r="M10" s="60"/>
      <c r="N10" s="60"/>
      <c r="O10" s="60"/>
    </row>
    <row r="11" spans="1:15" ht="27.95" customHeight="1">
      <c r="A11" s="67">
        <v>10</v>
      </c>
      <c r="B11" s="67" t="s">
        <v>31</v>
      </c>
      <c r="C11" s="61"/>
      <c r="D11" s="61">
        <v>44308</v>
      </c>
      <c r="E11" s="15" t="str">
        <f>IFERROR(VLOOKUP(B11,COA!A:C,2,0),"-")</f>
        <v xml:space="preserve">ကိုတင္လွ </v>
      </c>
      <c r="F11" s="15" t="str">
        <f>IFERROR(VLOOKUP($B11,COA!$A:$C,3,0),"-")</f>
        <v>မဝန္း</v>
      </c>
      <c r="G11" s="15" t="s">
        <v>26</v>
      </c>
      <c r="H11" s="60"/>
      <c r="I11" s="60">
        <v>30000</v>
      </c>
      <c r="J11" s="60">
        <v>-30000</v>
      </c>
      <c r="K11" s="15"/>
      <c r="L11" s="61">
        <v>44308</v>
      </c>
    </row>
    <row r="12" spans="1:15" ht="27.95" customHeight="1">
      <c r="A12" s="67">
        <v>11</v>
      </c>
      <c r="B12" s="67" t="s">
        <v>32</v>
      </c>
      <c r="D12" s="61">
        <v>44308</v>
      </c>
      <c r="E12" s="15" t="str">
        <f>IFERROR(VLOOKUP(B12,COA!A:C,2,0),"-")</f>
        <v xml:space="preserve">ေမာင္ျမင့္သူ </v>
      </c>
      <c r="F12" s="15" t="str">
        <f>IFERROR(VLOOKUP($B12,COA!$A:$C,3,0),"-")</f>
        <v>ခရိုကၡနိ</v>
      </c>
      <c r="G12" s="15" t="s">
        <v>26</v>
      </c>
      <c r="H12" s="59">
        <v>134300</v>
      </c>
      <c r="J12" s="59">
        <v>134300</v>
      </c>
      <c r="L12" s="61">
        <v>44316</v>
      </c>
    </row>
    <row r="13" spans="1:15" ht="27.95" customHeight="1">
      <c r="A13" s="67">
        <v>12</v>
      </c>
      <c r="B13" s="67" t="s">
        <v>32</v>
      </c>
      <c r="D13" s="61">
        <v>44308</v>
      </c>
      <c r="E13" s="15" t="str">
        <f>IFERROR(VLOOKUP(B13,COA!A:C,2,0),"-")</f>
        <v xml:space="preserve">ေမာင္ျမင့္သူ </v>
      </c>
      <c r="F13" s="15" t="str">
        <f>IFERROR(VLOOKUP($B13,COA!$A:$C,3,0),"-")</f>
        <v>ခရိုကၡနိ</v>
      </c>
      <c r="G13" s="15" t="s">
        <v>26</v>
      </c>
      <c r="I13" s="59">
        <v>55000</v>
      </c>
      <c r="J13" s="59">
        <v>-55000</v>
      </c>
      <c r="L13" s="61">
        <v>44316</v>
      </c>
    </row>
    <row r="14" spans="1:15" ht="27.95" customHeight="1">
      <c r="A14" s="67">
        <v>13</v>
      </c>
      <c r="B14" s="67" t="s">
        <v>33</v>
      </c>
      <c r="D14" s="61">
        <v>44307</v>
      </c>
      <c r="E14" s="15" t="str">
        <f>IFERROR(VLOOKUP(B14,COA!A:C,2,0),"-")</f>
        <v xml:space="preserve">ဦးေဇာ္ေထြး </v>
      </c>
      <c r="F14" s="15" t="str">
        <f>IFERROR(VLOOKUP($B14,COA!$A:$C,3,0),"-")</f>
        <v>သဲကုန္းတန္း</v>
      </c>
      <c r="G14" s="15" t="s">
        <v>44</v>
      </c>
      <c r="H14" s="59">
        <v>1200000</v>
      </c>
      <c r="J14" s="59">
        <v>1200000</v>
      </c>
      <c r="L14" s="61">
        <v>44316</v>
      </c>
    </row>
    <row r="15" spans="1:15" ht="27.95" customHeight="1">
      <c r="A15" s="72">
        <v>14</v>
      </c>
      <c r="B15" s="38" t="s">
        <v>27</v>
      </c>
      <c r="D15" s="61">
        <v>44308</v>
      </c>
      <c r="E15" s="15" t="str">
        <f>IFERROR(VLOOKUP(B15,COA!A:C,2,0),"-")</f>
        <v xml:space="preserve">ကိုမ်ိဳးသူ </v>
      </c>
      <c r="F15" s="15" t="str">
        <f>IFERROR(VLOOKUP($B15,COA!$A:$C,3,0),"-")</f>
        <v>ဝါးေသာက္</v>
      </c>
      <c r="G15" s="38" t="s">
        <v>26</v>
      </c>
      <c r="I15" s="59">
        <v>140500</v>
      </c>
      <c r="J15" s="59">
        <v>-140500</v>
      </c>
      <c r="L15" s="61">
        <v>44316</v>
      </c>
    </row>
    <row r="16" spans="1:15" ht="27.95" customHeight="1">
      <c r="A16" s="72">
        <v>15</v>
      </c>
      <c r="B16" s="38" t="s">
        <v>27</v>
      </c>
      <c r="D16" s="61">
        <v>44308</v>
      </c>
      <c r="E16" s="15" t="str">
        <f>IFERROR(VLOOKUP(B16,COA!A:C,2,0),"-")</f>
        <v xml:space="preserve">ကိုမ်ိဳးသူ </v>
      </c>
      <c r="F16" s="15" t="str">
        <f>IFERROR(VLOOKUP($B16,COA!$A:$C,3,0),"-")</f>
        <v>ဝါးေသာက္</v>
      </c>
      <c r="G16" s="38" t="s">
        <v>26</v>
      </c>
      <c r="H16" s="59">
        <v>188300</v>
      </c>
      <c r="J16" s="59">
        <v>188300</v>
      </c>
      <c r="L16" s="61">
        <v>44316</v>
      </c>
    </row>
    <row r="17" spans="1:21" ht="27.95" customHeight="1">
      <c r="A17" s="72">
        <v>16</v>
      </c>
      <c r="B17" s="38" t="s">
        <v>32</v>
      </c>
      <c r="D17" s="61">
        <v>44308</v>
      </c>
      <c r="E17" s="15" t="str">
        <f>IFERROR(VLOOKUP(B17,COA!A:C,2,0),"-")</f>
        <v xml:space="preserve">ေမာင္ျမင့္သူ </v>
      </c>
      <c r="F17" s="15" t="str">
        <f>IFERROR(VLOOKUP($B17,COA!$A:$C,3,0),"-")</f>
        <v>ခရိုကၡနိ</v>
      </c>
      <c r="G17" s="38" t="s">
        <v>26</v>
      </c>
      <c r="H17" s="59">
        <v>34000</v>
      </c>
      <c r="J17" s="59">
        <v>34000</v>
      </c>
      <c r="L17" s="61">
        <v>44316</v>
      </c>
    </row>
    <row r="18" spans="1:21" ht="27.95" customHeight="1">
      <c r="A18" s="72">
        <v>17</v>
      </c>
      <c r="B18" s="38" t="s">
        <v>27</v>
      </c>
      <c r="D18" s="61">
        <v>44309</v>
      </c>
      <c r="E18" s="15" t="str">
        <f>IFERROR(VLOOKUP(B18,COA!A:C,2,0),"-")</f>
        <v xml:space="preserve">ကိုမ်ိဳးသူ </v>
      </c>
      <c r="F18" s="15" t="str">
        <f>IFERROR(VLOOKUP($B18,COA!$A:$C,3,0),"-")</f>
        <v>ဝါးေသာက္</v>
      </c>
      <c r="G18" s="38" t="s">
        <v>26</v>
      </c>
      <c r="H18" s="59">
        <v>7900</v>
      </c>
      <c r="J18" s="59">
        <v>7900</v>
      </c>
      <c r="L18" s="61">
        <v>44316</v>
      </c>
    </row>
    <row r="19" spans="1:21" ht="27.95" customHeight="1">
      <c r="A19" s="72">
        <v>18</v>
      </c>
      <c r="B19" s="38" t="s">
        <v>29</v>
      </c>
      <c r="D19" s="61">
        <v>44311</v>
      </c>
      <c r="E19" s="15" t="str">
        <f>IFERROR(VLOOKUP(B19,COA!A:C,2,0),"-")</f>
        <v xml:space="preserve">ကိုေက်ာ္စိုး </v>
      </c>
      <c r="F19" s="15" t="str">
        <f>IFERROR(VLOOKUP($B19,COA!$A:$C,3,0),"-")</f>
        <v>ဝါးေသာက္</v>
      </c>
      <c r="G19" s="38" t="s">
        <v>26</v>
      </c>
      <c r="H19" s="59">
        <v>1400</v>
      </c>
      <c r="J19" s="59">
        <v>1400</v>
      </c>
      <c r="L19" s="61">
        <v>44316</v>
      </c>
    </row>
    <row r="20" spans="1:21" ht="27.95" customHeight="1">
      <c r="A20" s="72">
        <v>19</v>
      </c>
      <c r="B20" s="38" t="s">
        <v>33</v>
      </c>
      <c r="D20" s="50">
        <v>44313</v>
      </c>
      <c r="E20" s="15" t="str">
        <f>IFERROR(VLOOKUP(B20,COA!A:C,2,0),"-")</f>
        <v xml:space="preserve">ဦးေဇာ္ေထြး </v>
      </c>
      <c r="F20" s="15" t="str">
        <f>IFERROR(VLOOKUP($B20,COA!$A:$C,3,0),"-")</f>
        <v>သဲကုန္းတန္း</v>
      </c>
      <c r="G20" s="38" t="s">
        <v>59</v>
      </c>
      <c r="H20" s="59">
        <v>31000</v>
      </c>
      <c r="J20" s="59">
        <v>31000</v>
      </c>
      <c r="L20" s="61">
        <v>44316</v>
      </c>
    </row>
    <row r="21" spans="1:21" ht="27.95" customHeight="1">
      <c r="A21" s="72">
        <v>21</v>
      </c>
      <c r="B21" s="38" t="s">
        <v>32</v>
      </c>
      <c r="D21" s="50">
        <v>44315</v>
      </c>
      <c r="E21" s="15" t="str">
        <f>IFERROR(VLOOKUP(B21,COA!A:C,2,0),"-")</f>
        <v xml:space="preserve">ေမာင္ျမင့္သူ </v>
      </c>
      <c r="F21" s="15" t="str">
        <f>IFERROR(VLOOKUP($B21,COA!$A:$C,3,0),"-")</f>
        <v>ခရိုကၡနိ</v>
      </c>
      <c r="G21" s="38" t="s">
        <v>63</v>
      </c>
      <c r="I21" s="59">
        <v>20000</v>
      </c>
      <c r="J21" s="59">
        <v>-20000</v>
      </c>
      <c r="L21" s="61">
        <v>44317</v>
      </c>
    </row>
    <row r="22" spans="1:21" s="112" customFormat="1" ht="27.95" customHeight="1">
      <c r="A22" s="111">
        <v>22</v>
      </c>
      <c r="B22" s="112" t="s">
        <v>33</v>
      </c>
      <c r="C22" s="113"/>
      <c r="D22" s="113">
        <v>44316</v>
      </c>
      <c r="E22" s="114" t="str">
        <f>IFERROR(VLOOKUP(B22,COA!A:C,2,0),"-")</f>
        <v xml:space="preserve">ဦးေဇာ္ေထြး </v>
      </c>
      <c r="F22" s="114" t="str">
        <f>IFERROR(VLOOKUP($B22,COA!$A:$C,3,0),"-")</f>
        <v>သဲကုန္းတန္း</v>
      </c>
      <c r="G22" s="112" t="s">
        <v>63</v>
      </c>
      <c r="H22" s="115"/>
      <c r="I22" s="115">
        <v>300000</v>
      </c>
      <c r="J22" s="115">
        <v>-300000</v>
      </c>
      <c r="L22" s="116"/>
      <c r="M22" s="115"/>
      <c r="N22" s="115"/>
      <c r="O22" s="115"/>
      <c r="P22" s="115"/>
      <c r="Q22" s="115"/>
      <c r="R22" s="117"/>
      <c r="S22" s="115"/>
      <c r="T22" s="115"/>
      <c r="U22" s="115"/>
    </row>
    <row r="23" spans="1:21" ht="27.95" customHeight="1">
      <c r="A23" s="72">
        <v>23</v>
      </c>
      <c r="B23" s="38" t="s">
        <v>25</v>
      </c>
      <c r="D23" s="50">
        <v>44317</v>
      </c>
      <c r="E23" s="15" t="str">
        <f>IFERROR(VLOOKUP(B23,COA!A:C,2,0),"-")</f>
        <v xml:space="preserve">ကိုခ်စ္ေက်ာ္သူ </v>
      </c>
      <c r="F23" s="15" t="str">
        <f>IFERROR(VLOOKUP($B23,COA!$A:$C,3,0),"-")</f>
        <v>ဝါးေသာက္</v>
      </c>
      <c r="G23" s="38" t="s">
        <v>26</v>
      </c>
      <c r="H23" s="59">
        <v>1200</v>
      </c>
      <c r="J23" s="59">
        <v>1200</v>
      </c>
      <c r="L23" s="61">
        <v>44347</v>
      </c>
    </row>
    <row r="24" spans="1:21" ht="27.95" customHeight="1">
      <c r="A24" s="72">
        <v>24</v>
      </c>
      <c r="B24" s="38" t="s">
        <v>33</v>
      </c>
      <c r="D24" s="50">
        <v>44318</v>
      </c>
      <c r="E24" s="15" t="str">
        <f>IFERROR(VLOOKUP(B24,COA!A:C,2,0),"-")</f>
        <v xml:space="preserve">ဦးေဇာ္ေထြး </v>
      </c>
      <c r="F24" s="15" t="str">
        <f>IFERROR(VLOOKUP($B24,COA!$A:$C,3,0),"-")</f>
        <v>သဲကုန္းတန္း</v>
      </c>
      <c r="G24" s="38" t="s">
        <v>54</v>
      </c>
      <c r="H24" s="59">
        <v>40000</v>
      </c>
      <c r="J24" s="59">
        <v>40000</v>
      </c>
      <c r="L24" s="61">
        <v>44347</v>
      </c>
    </row>
    <row r="25" spans="1:21" ht="27.95" customHeight="1">
      <c r="A25" s="72">
        <v>25</v>
      </c>
      <c r="B25" s="38" t="s">
        <v>33</v>
      </c>
      <c r="D25" s="50">
        <v>44319</v>
      </c>
      <c r="E25" s="15" t="str">
        <f>IFERROR(VLOOKUP(B25,COA!A:C,2,0),"-")</f>
        <v xml:space="preserve">ဦးေဇာ္ေထြး </v>
      </c>
      <c r="F25" s="15" t="str">
        <f>IFERROR(VLOOKUP($B25,COA!$A:$C,3,0),"-")</f>
        <v>သဲကုန္းတန္း</v>
      </c>
      <c r="G25" s="38" t="s">
        <v>54</v>
      </c>
      <c r="H25" s="59">
        <v>53000</v>
      </c>
      <c r="J25" s="59">
        <v>53000</v>
      </c>
      <c r="L25" s="61">
        <v>44347</v>
      </c>
    </row>
    <row r="26" spans="1:21" ht="27.95" customHeight="1">
      <c r="A26" s="72">
        <v>26</v>
      </c>
      <c r="B26" s="38" t="s">
        <v>25</v>
      </c>
      <c r="D26" s="50">
        <v>44319</v>
      </c>
      <c r="E26" s="15"/>
      <c r="F26" s="15"/>
      <c r="G26" s="38" t="s">
        <v>63</v>
      </c>
      <c r="I26" s="59">
        <v>1200</v>
      </c>
      <c r="J26" s="59">
        <v>-1200</v>
      </c>
    </row>
    <row r="27" spans="1:21" ht="27.95" customHeight="1">
      <c r="A27" s="72">
        <v>27</v>
      </c>
      <c r="B27" s="38" t="s">
        <v>30</v>
      </c>
      <c r="D27" s="50">
        <v>44322</v>
      </c>
      <c r="E27" s="15" t="str">
        <f>IFERROR(VLOOKUP(B27,COA!A:C,2,0),"-")</f>
        <v>ကိုသန္႔ဇင္</v>
      </c>
      <c r="F27" s="15" t="str">
        <f>IFERROR(VLOOKUP($B27,COA!$A:$C,3,0),"-")</f>
        <v>ဝါးေသာက္</v>
      </c>
      <c r="G27" s="38" t="s">
        <v>26</v>
      </c>
      <c r="H27" s="59">
        <v>9000</v>
      </c>
      <c r="J27" s="59">
        <v>9000</v>
      </c>
      <c r="L27" s="61">
        <v>44347</v>
      </c>
    </row>
    <row r="28" spans="1:21" ht="27.95" customHeight="1">
      <c r="A28" s="72">
        <v>28</v>
      </c>
      <c r="B28" s="38" t="s">
        <v>33</v>
      </c>
      <c r="D28" s="50">
        <v>44330</v>
      </c>
      <c r="E28" s="15" t="str">
        <f>IFERROR(VLOOKUP(B28,COA!A:C,2,0),"-")</f>
        <v xml:space="preserve">ဦးေဇာ္ေထြး </v>
      </c>
      <c r="F28" s="15" t="str">
        <f>IFERROR(VLOOKUP($B28,COA!$A:$C,3,0),"-")</f>
        <v>သဲကုန္းတန္း</v>
      </c>
      <c r="G28" s="38" t="s">
        <v>63</v>
      </c>
      <c r="I28" s="59">
        <v>971000</v>
      </c>
      <c r="J28" s="59">
        <v>-971000</v>
      </c>
    </row>
    <row r="29" spans="1:21" ht="27.95" customHeight="1">
      <c r="A29" s="72">
        <v>29</v>
      </c>
      <c r="B29" s="38" t="s">
        <v>32</v>
      </c>
      <c r="D29" s="50">
        <v>44331</v>
      </c>
      <c r="E29" s="15" t="str">
        <f>IFERROR(VLOOKUP(B29,COA!A:C,2,0),"-")</f>
        <v xml:space="preserve">ေမာင္ျမင့္သူ </v>
      </c>
      <c r="F29" s="15" t="str">
        <f>IFERROR(VLOOKUP($B29,COA!$A:$C,3,0),"-")</f>
        <v>ခရိုကၡနိ</v>
      </c>
      <c r="G29" s="38" t="s">
        <v>63</v>
      </c>
      <c r="I29" s="59">
        <v>20000</v>
      </c>
      <c r="J29" s="59">
        <v>-20000</v>
      </c>
    </row>
    <row r="30" spans="1:21" ht="27.95" customHeight="1">
      <c r="A30" s="72">
        <v>30</v>
      </c>
      <c r="B30" s="38" t="s">
        <v>29</v>
      </c>
      <c r="D30" s="50">
        <v>44331</v>
      </c>
      <c r="E30" s="15" t="str">
        <f>IFERROR(VLOOKUP(B30,COA!A:C,2,0),"-")</f>
        <v xml:space="preserve">ကိုေက်ာ္စိုး </v>
      </c>
      <c r="F30" s="15" t="str">
        <f>IFERROR(VLOOKUP($B30,COA!$A:$C,3,0),"-")</f>
        <v>ဝါးေသာက္</v>
      </c>
      <c r="G30" s="38" t="s">
        <v>26</v>
      </c>
      <c r="H30" s="59">
        <v>16300</v>
      </c>
      <c r="J30" s="59">
        <v>16300</v>
      </c>
      <c r="L30" s="61">
        <v>44347</v>
      </c>
    </row>
    <row r="31" spans="1:21" ht="27.95" customHeight="1">
      <c r="A31" s="72">
        <v>31</v>
      </c>
      <c r="B31" s="38" t="s">
        <v>29</v>
      </c>
      <c r="D31" s="50">
        <v>44339</v>
      </c>
      <c r="E31" s="15" t="str">
        <f>IFERROR(VLOOKUP(B31,COA!A:C,2,0),"-")</f>
        <v xml:space="preserve">ကိုေက်ာ္စိုး </v>
      </c>
      <c r="F31" s="15" t="str">
        <f>IFERROR(VLOOKUP($B31,COA!$A:$C,3,0),"-")</f>
        <v>ဝါးေသာက္</v>
      </c>
      <c r="G31" s="38" t="s">
        <v>63</v>
      </c>
      <c r="I31" s="59">
        <v>50000</v>
      </c>
      <c r="J31" s="59">
        <v>-50000</v>
      </c>
    </row>
    <row r="32" spans="1:21" ht="27.95" customHeight="1">
      <c r="A32" s="72">
        <v>32</v>
      </c>
      <c r="B32" s="38" t="s">
        <v>28</v>
      </c>
      <c r="D32" s="50">
        <v>44339</v>
      </c>
      <c r="E32" s="15" t="str">
        <f>IFERROR(VLOOKUP(B32,COA!A:C,2,0),"-")</f>
        <v>ကိုကိုင္ဇာေဌး</v>
      </c>
      <c r="F32" s="15" t="str">
        <f>IFERROR(VLOOKUP($B32,COA!$A:$C,3,0),"-")</f>
        <v>ဝါးေသာက္</v>
      </c>
      <c r="G32" s="38" t="s">
        <v>63</v>
      </c>
      <c r="I32" s="59">
        <v>10000</v>
      </c>
      <c r="J32" s="59">
        <v>-10000</v>
      </c>
    </row>
    <row r="33" spans="1:21" s="112" customFormat="1" ht="27.95" customHeight="1">
      <c r="A33" s="111">
        <v>33</v>
      </c>
      <c r="B33" s="112" t="s">
        <v>32</v>
      </c>
      <c r="C33" s="113"/>
      <c r="D33" s="113">
        <v>44339</v>
      </c>
      <c r="E33" s="114" t="str">
        <f>IFERROR(VLOOKUP(B33,COA!A:C,2,0),"-")</f>
        <v xml:space="preserve">ေမာင္ျမင့္သူ </v>
      </c>
      <c r="F33" s="114" t="str">
        <f>IFERROR(VLOOKUP($B33,COA!$A:$C,3,0),"-")</f>
        <v>ခရိုကၡနိ</v>
      </c>
      <c r="G33" s="112" t="s">
        <v>63</v>
      </c>
      <c r="H33" s="115"/>
      <c r="I33" s="115">
        <v>30000</v>
      </c>
      <c r="J33" s="115">
        <v>-30000</v>
      </c>
      <c r="L33" s="116"/>
      <c r="M33" s="115"/>
      <c r="N33" s="115"/>
      <c r="O33" s="115"/>
      <c r="P33" s="115"/>
      <c r="Q33" s="115"/>
      <c r="R33" s="117"/>
      <c r="S33" s="115"/>
      <c r="T33" s="115"/>
      <c r="U33" s="115"/>
    </row>
    <row r="34" spans="1:21" ht="27.95" customHeight="1">
      <c r="E34" s="15"/>
      <c r="F34" s="15"/>
    </row>
    <row r="35" spans="1:21" ht="27.95" customHeight="1">
      <c r="E35" s="15"/>
      <c r="F35" s="15"/>
    </row>
    <row r="36" spans="1:21" ht="27.95" customHeight="1">
      <c r="E36" s="15"/>
      <c r="F36" s="15"/>
    </row>
    <row r="37" spans="1:21" ht="27.95" customHeight="1">
      <c r="E37" s="15"/>
      <c r="F37" s="15"/>
    </row>
    <row r="38" spans="1:21" ht="27.95" customHeight="1">
      <c r="E38" s="15"/>
      <c r="F38" s="15"/>
    </row>
    <row r="39" spans="1:21" ht="27.95" customHeight="1">
      <c r="E39" s="15"/>
      <c r="F39" s="15"/>
    </row>
    <row r="40" spans="1:21" ht="27.95" customHeight="1">
      <c r="E40" s="15"/>
      <c r="F40" s="15"/>
    </row>
    <row r="41" spans="1:21" ht="27.95" customHeight="1">
      <c r="E41" s="15"/>
      <c r="F41" s="15"/>
    </row>
    <row r="42" spans="1:21" ht="27.95" customHeight="1">
      <c r="E42" s="15"/>
      <c r="F42" s="15"/>
    </row>
    <row r="43" spans="1:21" ht="27.95" customHeight="1">
      <c r="E43" s="15"/>
      <c r="F43" s="15"/>
    </row>
  </sheetData>
  <dataValidations count="1">
    <dataValidation type="list" errorStyle="warning" allowBlank="1" showInputMessage="1" showErrorMessage="1" sqref="G2:G14">
      <formula1>"Tri Spare,Engine spare,ေရေမာ္တာ,ေရျမွုပ္ပန္႔"</formula1>
    </dataValidation>
  </dataValidations>
  <pageMargins left="0.24" right="0.16" top="0.75" bottom="0.75" header="0.3" footer="0.3"/>
  <pageSetup paperSize="5" scale="6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COA!$A$2:$A$12</xm:f>
          </x14:formula1>
          <xm:sqref>B4:B14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"/>
  <sheetViews>
    <sheetView workbookViewId="0">
      <selection activeCell="A5" sqref="A5:XFD5"/>
    </sheetView>
  </sheetViews>
  <sheetFormatPr defaultRowHeight="21.75"/>
  <cols>
    <col min="1" max="1" width="21.140625" style="38" bestFit="1" customWidth="1"/>
    <col min="2" max="2" width="14.7109375" style="3" bestFit="1" customWidth="1"/>
    <col min="3" max="3" width="11.5703125" style="101" bestFit="1" customWidth="1"/>
    <col min="4" max="4" width="19.140625" style="102" bestFit="1" customWidth="1"/>
    <col min="5" max="5" width="0" style="3" hidden="1" customWidth="1"/>
    <col min="6" max="6" width="12.42578125" style="110" bestFit="1" customWidth="1"/>
    <col min="7" max="16384" width="9.140625" style="3"/>
  </cols>
  <sheetData>
    <row r="1" spans="1:5">
      <c r="A1" s="38" t="s">
        <v>65</v>
      </c>
    </row>
    <row r="2" spans="1:5" ht="30.75" customHeight="1">
      <c r="A2" s="105" t="s">
        <v>24</v>
      </c>
      <c r="B2" s="106" t="s">
        <v>9</v>
      </c>
      <c r="C2" s="107" t="s">
        <v>10</v>
      </c>
      <c r="D2" s="108" t="s">
        <v>17</v>
      </c>
      <c r="E2" s="104"/>
    </row>
    <row r="3" spans="1:5">
      <c r="A3" s="37" t="s">
        <v>25</v>
      </c>
      <c r="B3" s="86" t="str">
        <f>VLOOKUP($A3,' Data Save '!$B:$L,4,0)</f>
        <v xml:space="preserve">ကိုခ်စ္ေက်ာ္သူ </v>
      </c>
      <c r="C3" s="109" t="str">
        <f>VLOOKUP($A3,' Data Save '!$B:$L,5,0)</f>
        <v>ဝါးေသာက္</v>
      </c>
      <c r="D3" s="12">
        <f>SUMIF(' Data Save '!B:B,'Total Balance'!A3,' Data Save '!J:J)</f>
        <v>142500</v>
      </c>
    </row>
    <row r="4" spans="1:5">
      <c r="A4" s="37" t="s">
        <v>27</v>
      </c>
      <c r="B4" s="86" t="str">
        <f>VLOOKUP($A4,' Data Save '!$B:$L,4,0)</f>
        <v xml:space="preserve">ကိုမ်ိဳးသူ </v>
      </c>
      <c r="C4" s="109" t="str">
        <f>VLOOKUP($A4,' Data Save '!$B:$L,5,0)</f>
        <v>ဝါးေသာက္</v>
      </c>
      <c r="D4" s="12">
        <f>SUMIF(' Data Save '!B:B,'Total Balance'!A4,' Data Save '!J:J)</f>
        <v>196800</v>
      </c>
    </row>
    <row r="5" spans="1:5">
      <c r="A5" s="37" t="s">
        <v>28</v>
      </c>
      <c r="B5" s="86" t="str">
        <f>VLOOKUP($A5,' Data Save '!$B:$L,4,0)</f>
        <v>ကိုကိုင္ဇာေဌး</v>
      </c>
      <c r="C5" s="109" t="str">
        <f>VLOOKUP($A5,' Data Save '!$B:$L,5,0)</f>
        <v>ဝါးေသာက္</v>
      </c>
      <c r="D5" s="12">
        <f>SUMIF(' Data Save '!B:B,'Total Balance'!A5,' Data Save '!J:J)</f>
        <v>31700</v>
      </c>
    </row>
    <row r="6" spans="1:5">
      <c r="A6" s="37" t="s">
        <v>29</v>
      </c>
      <c r="B6" s="86" t="str">
        <f>VLOOKUP($A6,' Data Save '!$B:$L,4,0)</f>
        <v xml:space="preserve">ကိုေက်ာ္စိုး </v>
      </c>
      <c r="C6" s="109" t="str">
        <f>VLOOKUP($A6,' Data Save '!$B:$L,5,0)</f>
        <v>ဝါးေသာက္</v>
      </c>
      <c r="D6" s="12">
        <f>SUMIF(' Data Save '!B:B,'Total Balance'!A6,' Data Save '!J:J)</f>
        <v>42900</v>
      </c>
    </row>
    <row r="7" spans="1:5">
      <c r="A7" s="37" t="s">
        <v>30</v>
      </c>
      <c r="B7" s="86" t="str">
        <f>VLOOKUP($A7,' Data Save '!$B:$L,4,0)</f>
        <v>ကိုသန္႔ဇင္</v>
      </c>
      <c r="C7" s="109" t="str">
        <f>VLOOKUP($A7,' Data Save '!$B:$L,5,0)</f>
        <v>ဝါးေသာက္</v>
      </c>
      <c r="D7" s="12">
        <f>SUMIF(' Data Save '!B:B,'Total Balance'!A7,' Data Save '!J:J)</f>
        <v>18200</v>
      </c>
    </row>
    <row r="8" spans="1:5">
      <c r="A8" s="37" t="s">
        <v>31</v>
      </c>
      <c r="B8" s="86" t="str">
        <f>VLOOKUP($A8,' Data Save '!$B:$L,4,0)</f>
        <v xml:space="preserve">ကိုတင္လွ </v>
      </c>
      <c r="C8" s="109" t="str">
        <f>VLOOKUP($A8,' Data Save '!$B:$L,5,0)</f>
        <v>မဝန္း</v>
      </c>
      <c r="D8" s="12">
        <f>SUMIF(' Data Save '!B:B,'Total Balance'!A8,' Data Save '!J:J)</f>
        <v>31700</v>
      </c>
    </row>
    <row r="9" spans="1:5">
      <c r="A9" s="37" t="s">
        <v>32</v>
      </c>
      <c r="B9" s="86" t="str">
        <f>VLOOKUP($A9,' Data Save '!$B:$L,4,0)</f>
        <v xml:space="preserve">ေမာင္ျမင့္သူ </v>
      </c>
      <c r="C9" s="109" t="str">
        <f>VLOOKUP($A9,' Data Save '!$B:$L,5,0)</f>
        <v>ခရိုကၡနိ</v>
      </c>
      <c r="D9" s="12">
        <f>SUMIF(' Data Save '!B:B,'Total Balance'!A9,' Data Save '!J:J)</f>
        <v>43300</v>
      </c>
    </row>
    <row r="10" spans="1:5">
      <c r="A10" s="37" t="s">
        <v>33</v>
      </c>
      <c r="B10" s="86" t="str">
        <f>VLOOKUP($A10,' Data Save '!$B:$L,4,0)</f>
        <v xml:space="preserve">ဦးေဇာ္ေထြး </v>
      </c>
      <c r="C10" s="109" t="str">
        <f>VLOOKUP($A10,' Data Save '!$B:$L,5,0)</f>
        <v>သဲကုန္းတန္း</v>
      </c>
      <c r="D10" s="12">
        <f>SUMIF(' Data Save '!B:B,'Total Balance'!A10,' Data Save '!J:J)</f>
        <v>53000</v>
      </c>
    </row>
    <row r="12" spans="1:5" ht="22.5" thickBot="1">
      <c r="C12" s="13" t="s">
        <v>64</v>
      </c>
      <c r="D12" s="103">
        <f>SUM(D3:D11)</f>
        <v>560100</v>
      </c>
    </row>
    <row r="13" spans="1:5" ht="22.5" thickTop="1"/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5"/>
  <sheetViews>
    <sheetView topLeftCell="A10" zoomScaleNormal="100" workbookViewId="0">
      <selection activeCell="E12" sqref="E12"/>
    </sheetView>
  </sheetViews>
  <sheetFormatPr defaultColWidth="9.140625" defaultRowHeight="21.75"/>
  <cols>
    <col min="1" max="1" width="11.7109375" style="22" customWidth="1"/>
    <col min="2" max="2" width="31.85546875" style="47" customWidth="1"/>
    <col min="3" max="3" width="9" style="22" customWidth="1"/>
    <col min="4" max="4" width="20.7109375" style="22" customWidth="1"/>
    <col min="5" max="5" width="24" style="22" bestFit="1" customWidth="1"/>
    <col min="6" max="6" width="10.5703125" style="22" bestFit="1" customWidth="1"/>
    <col min="7" max="7" width="13.5703125" style="22" bestFit="1" customWidth="1"/>
    <col min="8" max="8" width="13.5703125" style="25" bestFit="1" customWidth="1"/>
    <col min="9" max="9" width="17.42578125" style="25" customWidth="1"/>
    <col min="10" max="10" width="14.140625" style="25" customWidth="1"/>
    <col min="11" max="11" width="9.42578125" style="22" bestFit="1" customWidth="1"/>
    <col min="12" max="12" width="13.140625" style="22" bestFit="1" customWidth="1"/>
    <col min="13" max="14" width="9.140625" style="22"/>
    <col min="15" max="15" width="10.5703125" style="22" bestFit="1" customWidth="1"/>
    <col min="16" max="16" width="13.140625" style="22" bestFit="1" customWidth="1"/>
    <col min="17" max="17" width="12.140625" style="22" bestFit="1" customWidth="1"/>
    <col min="18" max="18" width="9.140625" style="22"/>
    <col min="19" max="19" width="11.85546875" style="24" bestFit="1" customWidth="1"/>
    <col min="20" max="22" width="9.140625" style="22"/>
    <col min="23" max="23" width="12" style="22" bestFit="1" customWidth="1"/>
    <col min="24" max="16384" width="9.140625" style="22"/>
  </cols>
  <sheetData>
    <row r="1" spans="1:26" s="3" customFormat="1">
      <c r="A1" s="56" t="s">
        <v>58</v>
      </c>
      <c r="B1" s="57" t="s">
        <v>45</v>
      </c>
      <c r="E1" s="4"/>
      <c r="F1" s="22"/>
      <c r="G1" s="22"/>
      <c r="H1" s="68"/>
      <c r="I1" s="68"/>
      <c r="J1" s="68"/>
      <c r="K1" s="34"/>
      <c r="L1" s="34"/>
      <c r="M1" s="34"/>
      <c r="N1" s="34"/>
      <c r="O1" s="34"/>
      <c r="P1" s="34"/>
      <c r="Q1" s="34"/>
      <c r="R1" s="34"/>
      <c r="S1" s="35"/>
      <c r="T1" s="34"/>
      <c r="U1" s="34"/>
      <c r="V1" s="34"/>
      <c r="W1" s="34"/>
      <c r="X1" s="34"/>
      <c r="Y1" s="34"/>
      <c r="Z1" s="34"/>
    </row>
    <row r="2" spans="1:26" s="3" customFormat="1">
      <c r="B2" s="38"/>
      <c r="E2" s="4"/>
      <c r="F2" s="22"/>
      <c r="G2" s="22"/>
      <c r="H2" s="68"/>
      <c r="I2" s="68"/>
      <c r="J2" s="68"/>
      <c r="K2" s="34"/>
      <c r="L2" s="34"/>
      <c r="M2" s="34"/>
      <c r="N2" s="34"/>
      <c r="O2" s="34"/>
      <c r="P2" s="34"/>
      <c r="Q2" s="34"/>
      <c r="R2" s="34"/>
      <c r="S2" s="35"/>
      <c r="T2" s="34"/>
      <c r="U2" s="34"/>
      <c r="V2" s="34"/>
      <c r="W2" s="34"/>
      <c r="X2" s="34"/>
      <c r="Y2" s="34"/>
      <c r="Z2" s="34"/>
    </row>
    <row r="3" spans="1:26" s="3" customFormat="1">
      <c r="B3" s="38"/>
      <c r="E3" s="4"/>
      <c r="F3" s="22"/>
      <c r="G3" s="22"/>
      <c r="H3" s="68"/>
      <c r="I3" s="68"/>
      <c r="J3" s="68"/>
      <c r="K3" s="34"/>
      <c r="L3" s="34"/>
      <c r="M3" s="34"/>
      <c r="N3" s="34"/>
      <c r="O3" s="34"/>
      <c r="P3" s="34"/>
      <c r="Q3" s="34"/>
      <c r="R3" s="34"/>
      <c r="S3" s="35"/>
      <c r="T3" s="34"/>
      <c r="U3" s="34"/>
      <c r="V3" s="34"/>
      <c r="W3" s="34"/>
      <c r="X3" s="34"/>
      <c r="Y3" s="34"/>
      <c r="Z3" s="34"/>
    </row>
    <row r="4" spans="1:26" s="3" customFormat="1">
      <c r="B4" s="38"/>
      <c r="E4" s="4"/>
      <c r="F4" s="22"/>
      <c r="G4" s="22"/>
      <c r="H4" s="68"/>
      <c r="I4" s="68"/>
      <c r="J4" s="68"/>
      <c r="K4" s="34"/>
      <c r="L4" s="34"/>
      <c r="M4" s="34"/>
      <c r="N4" s="34"/>
      <c r="O4" s="34"/>
      <c r="P4" s="34"/>
      <c r="Q4" s="34"/>
      <c r="R4" s="34"/>
      <c r="S4" s="35"/>
      <c r="T4" s="34"/>
      <c r="U4" s="34"/>
      <c r="V4" s="34"/>
      <c r="W4" s="34"/>
      <c r="X4" s="34"/>
      <c r="Y4" s="34"/>
      <c r="Z4" s="34"/>
    </row>
    <row r="5" spans="1:26" s="3" customFormat="1">
      <c r="B5" s="38"/>
      <c r="E5" s="4"/>
      <c r="F5" s="22"/>
      <c r="G5" s="22"/>
      <c r="H5" s="68"/>
      <c r="I5" s="68"/>
      <c r="J5" s="68"/>
      <c r="K5" s="34"/>
      <c r="L5" s="34"/>
      <c r="M5" s="34"/>
      <c r="N5" s="34"/>
      <c r="O5" s="34"/>
      <c r="P5" s="34"/>
      <c r="Q5" s="34"/>
      <c r="R5" s="34"/>
      <c r="S5" s="35"/>
      <c r="T5" s="34"/>
      <c r="U5" s="34"/>
      <c r="V5" s="34"/>
      <c r="W5" s="34"/>
      <c r="X5" s="34"/>
      <c r="Y5" s="34"/>
      <c r="Z5" s="34"/>
    </row>
    <row r="6" spans="1:26" s="3" customFormat="1">
      <c r="B6" s="38"/>
      <c r="E6" s="4"/>
      <c r="F6" s="22"/>
      <c r="G6" s="22"/>
      <c r="H6" s="68"/>
      <c r="I6" s="68"/>
      <c r="J6" s="68"/>
      <c r="K6" s="34"/>
      <c r="L6" s="34"/>
      <c r="M6" s="34"/>
      <c r="N6" s="34"/>
      <c r="O6" s="34"/>
      <c r="P6" s="34"/>
      <c r="Q6" s="34"/>
      <c r="R6" s="34"/>
      <c r="S6" s="35"/>
      <c r="T6" s="34"/>
      <c r="U6" s="34"/>
      <c r="V6" s="34"/>
      <c r="W6" s="34"/>
      <c r="X6" s="34"/>
      <c r="Y6" s="34"/>
      <c r="Z6" s="34"/>
    </row>
    <row r="7" spans="1:26" s="3" customFormat="1">
      <c r="B7" s="38"/>
      <c r="E7" s="4"/>
      <c r="F7" s="22"/>
      <c r="G7" s="22"/>
      <c r="H7" s="68"/>
      <c r="I7" s="68"/>
      <c r="J7" s="68"/>
      <c r="K7" s="34"/>
      <c r="L7" s="34"/>
      <c r="M7" s="34"/>
      <c r="N7" s="34"/>
      <c r="O7" s="34"/>
      <c r="P7" s="34"/>
      <c r="Q7" s="34"/>
      <c r="R7" s="34"/>
      <c r="S7" s="35"/>
      <c r="T7" s="34"/>
      <c r="U7" s="34"/>
      <c r="V7" s="34"/>
      <c r="W7" s="34"/>
      <c r="X7" s="34"/>
      <c r="Y7" s="34"/>
      <c r="Z7" s="34"/>
    </row>
    <row r="8" spans="1:26" s="3" customFormat="1">
      <c r="B8" s="38"/>
      <c r="E8" s="4"/>
      <c r="F8" s="22"/>
      <c r="G8" s="22"/>
      <c r="H8" s="68"/>
      <c r="I8" s="68"/>
      <c r="J8" s="68"/>
      <c r="K8" s="34"/>
      <c r="L8" s="34"/>
      <c r="M8" s="34"/>
      <c r="N8" s="34"/>
      <c r="O8" s="34"/>
      <c r="P8" s="34"/>
      <c r="Q8" s="34"/>
      <c r="R8" s="34"/>
      <c r="S8" s="35"/>
      <c r="T8" s="34"/>
      <c r="U8" s="34"/>
      <c r="V8" s="34"/>
      <c r="W8" s="34"/>
      <c r="X8" s="34"/>
      <c r="Y8" s="34"/>
      <c r="Z8" s="34"/>
    </row>
    <row r="9" spans="1:26" s="3" customFormat="1" ht="46.5" customHeight="1">
      <c r="A9" s="13"/>
      <c r="B9" s="13"/>
      <c r="C9" s="13"/>
      <c r="D9" s="13"/>
      <c r="E9" s="2"/>
      <c r="F9" s="22"/>
      <c r="G9" s="48"/>
      <c r="H9" s="69"/>
      <c r="I9" s="69"/>
      <c r="J9" s="69"/>
      <c r="K9" s="34"/>
      <c r="L9" s="34"/>
      <c r="M9" s="34"/>
      <c r="N9" s="34"/>
      <c r="O9" s="34"/>
      <c r="P9" s="34"/>
      <c r="Q9" s="34"/>
      <c r="R9" s="34"/>
      <c r="S9" s="35"/>
      <c r="T9" s="34"/>
      <c r="U9" s="34"/>
      <c r="V9" s="34"/>
      <c r="W9" s="34"/>
      <c r="X9" s="34"/>
      <c r="Y9" s="34"/>
      <c r="Z9" s="34"/>
    </row>
    <row r="10" spans="1:26" s="3" customFormat="1">
      <c r="A10" s="14" t="s">
        <v>12</v>
      </c>
      <c r="B10" s="36" t="str">
        <f>E33</f>
        <v xml:space="preserve">ကိုေက်ာ္စိုး </v>
      </c>
      <c r="C10" s="42"/>
      <c r="D10" s="8" t="s">
        <v>8</v>
      </c>
      <c r="E10" s="49">
        <f>D33</f>
        <v>44308</v>
      </c>
      <c r="F10" s="34"/>
      <c r="G10" s="34"/>
      <c r="H10" s="68"/>
      <c r="I10" s="68"/>
      <c r="J10" s="68"/>
      <c r="K10" s="34"/>
      <c r="L10" s="34"/>
      <c r="M10" s="34"/>
      <c r="N10" s="34"/>
      <c r="O10" s="34"/>
      <c r="P10" s="34"/>
      <c r="Q10" s="34"/>
      <c r="R10" s="34"/>
      <c r="S10" s="35"/>
      <c r="T10" s="34"/>
      <c r="U10" s="34"/>
      <c r="V10" s="34"/>
      <c r="W10" s="34"/>
      <c r="X10" s="34"/>
      <c r="Y10" s="34"/>
      <c r="Z10" s="34"/>
    </row>
    <row r="11" spans="1:26" s="3" customFormat="1">
      <c r="A11" s="1" t="s">
        <v>10</v>
      </c>
      <c r="B11" s="37" t="str">
        <f>F33</f>
        <v>ဝါးေသာက္</v>
      </c>
      <c r="C11" s="43"/>
      <c r="D11" s="8" t="s">
        <v>19</v>
      </c>
      <c r="E11" s="51">
        <v>4</v>
      </c>
      <c r="F11" s="34"/>
      <c r="G11" s="34"/>
      <c r="H11" s="68"/>
      <c r="I11" s="68"/>
      <c r="J11" s="68"/>
      <c r="K11" s="34"/>
      <c r="L11" s="34"/>
      <c r="M11" s="34"/>
      <c r="N11" s="34"/>
      <c r="O11" s="34"/>
      <c r="P11" s="34"/>
      <c r="Q11" s="34"/>
      <c r="R11" s="34"/>
      <c r="S11" s="35"/>
      <c r="T11" s="34"/>
      <c r="U11" s="34"/>
      <c r="V11" s="34"/>
      <c r="W11" s="34"/>
      <c r="X11" s="34"/>
      <c r="Y11" s="34"/>
      <c r="Z11" s="34"/>
    </row>
    <row r="12" spans="1:26" s="3" customFormat="1">
      <c r="A12" s="1" t="s">
        <v>47</v>
      </c>
      <c r="B12" s="90" t="str">
        <f>B33</f>
        <v>SPR004</v>
      </c>
      <c r="C12" s="44"/>
      <c r="D12" s="2"/>
      <c r="E12" s="60"/>
      <c r="F12" s="34"/>
      <c r="G12" s="34"/>
      <c r="H12" s="68"/>
      <c r="I12" s="68"/>
      <c r="J12" s="68"/>
      <c r="K12" s="34"/>
      <c r="L12" s="34"/>
      <c r="M12" s="34"/>
      <c r="N12" s="34"/>
      <c r="O12" s="34"/>
      <c r="P12" s="34"/>
      <c r="Q12" s="34"/>
      <c r="R12" s="34"/>
      <c r="S12" s="35"/>
      <c r="T12" s="34"/>
      <c r="U12" s="34"/>
      <c r="V12" s="34"/>
      <c r="W12" s="34"/>
      <c r="X12" s="34"/>
      <c r="Y12" s="34"/>
      <c r="Z12" s="34"/>
    </row>
    <row r="13" spans="1:26" s="3" customFormat="1">
      <c r="A13" s="2"/>
      <c r="B13" s="15"/>
      <c r="C13" s="43"/>
      <c r="D13" s="2"/>
      <c r="E13" s="62"/>
      <c r="F13" s="34"/>
      <c r="G13" s="34"/>
      <c r="H13" s="68"/>
      <c r="I13" s="68"/>
      <c r="J13" s="68"/>
      <c r="K13" s="34"/>
      <c r="L13" s="34"/>
      <c r="M13" s="34"/>
      <c r="N13" s="34"/>
      <c r="O13" s="34"/>
      <c r="P13" s="34"/>
      <c r="Q13" s="34"/>
      <c r="R13" s="34"/>
      <c r="S13" s="35"/>
      <c r="T13" s="34"/>
      <c r="U13" s="34"/>
      <c r="V13" s="34"/>
      <c r="W13" s="34"/>
      <c r="X13" s="34"/>
      <c r="Y13" s="34"/>
      <c r="Z13" s="34"/>
    </row>
    <row r="14" spans="1:26" s="3" customFormat="1">
      <c r="A14" s="2"/>
      <c r="B14" s="15"/>
      <c r="C14" s="15"/>
      <c r="D14" s="2"/>
      <c r="E14" s="2"/>
      <c r="F14" s="34"/>
      <c r="G14" s="34"/>
      <c r="H14" s="68"/>
      <c r="I14" s="68"/>
      <c r="J14" s="68"/>
      <c r="K14" s="34"/>
      <c r="L14" s="34"/>
      <c r="M14" s="34"/>
      <c r="N14" s="34"/>
      <c r="O14" s="34"/>
      <c r="P14" s="34"/>
      <c r="Q14" s="34"/>
      <c r="R14" s="34"/>
      <c r="S14" s="35"/>
      <c r="T14" s="34"/>
      <c r="U14" s="34"/>
      <c r="V14" s="34"/>
      <c r="W14" s="34"/>
      <c r="X14" s="34"/>
      <c r="Y14" s="34"/>
      <c r="Z14" s="34"/>
    </row>
    <row r="15" spans="1:26" s="3" customFormat="1">
      <c r="A15" s="16" t="s">
        <v>18</v>
      </c>
      <c r="B15" s="16" t="s">
        <v>3</v>
      </c>
      <c r="C15" s="16" t="s">
        <v>0</v>
      </c>
      <c r="D15" s="17" t="s">
        <v>1</v>
      </c>
      <c r="E15" s="17" t="s">
        <v>2</v>
      </c>
      <c r="F15" s="34"/>
      <c r="G15" s="34"/>
      <c r="H15" s="68"/>
      <c r="I15" s="68"/>
      <c r="J15" s="68"/>
      <c r="K15" s="34"/>
      <c r="L15" s="34"/>
      <c r="M15" s="34"/>
      <c r="N15" s="34"/>
      <c r="O15" s="34"/>
      <c r="P15" s="34"/>
      <c r="Q15" s="34"/>
      <c r="R15" s="34"/>
      <c r="S15" s="35"/>
      <c r="T15" s="34"/>
      <c r="U15" s="34"/>
      <c r="V15" s="34"/>
      <c r="W15" s="34"/>
      <c r="X15" s="34"/>
      <c r="Y15" s="34"/>
      <c r="Z15" s="34"/>
    </row>
    <row r="16" spans="1:26" s="3" customFormat="1" ht="35.25" customHeight="1">
      <c r="A16" s="18">
        <f>IF(B16="","",ROW(1:1))</f>
        <v>1</v>
      </c>
      <c r="B16" s="45" t="str">
        <f>G33</f>
        <v>Tri Spare</v>
      </c>
      <c r="C16" s="18"/>
      <c r="D16" s="10"/>
      <c r="E16" s="5">
        <f>H33</f>
        <v>63200</v>
      </c>
      <c r="F16" s="34"/>
      <c r="G16" s="34"/>
      <c r="H16" s="68"/>
      <c r="I16" s="68"/>
      <c r="J16" s="68"/>
      <c r="K16" s="34"/>
      <c r="L16" s="34"/>
      <c r="M16" s="34"/>
      <c r="N16" s="34"/>
      <c r="O16" s="34"/>
      <c r="P16" s="34"/>
      <c r="Q16" s="34"/>
      <c r="R16" s="34"/>
      <c r="S16" s="35"/>
      <c r="T16" s="34"/>
      <c r="U16" s="34"/>
      <c r="V16" s="34"/>
      <c r="W16" s="34"/>
      <c r="X16" s="34"/>
      <c r="Y16" s="34"/>
      <c r="Z16" s="34"/>
    </row>
    <row r="17" spans="1:26" s="3" customFormat="1">
      <c r="B17" s="38"/>
      <c r="D17" s="7" t="s">
        <v>16</v>
      </c>
      <c r="E17" s="52">
        <f>SUM(E16)</f>
        <v>63200</v>
      </c>
      <c r="F17" s="34"/>
      <c r="G17" s="34"/>
      <c r="H17" s="68"/>
      <c r="I17" s="68"/>
      <c r="J17" s="68"/>
      <c r="K17" s="34"/>
      <c r="L17" s="34"/>
      <c r="M17" s="34"/>
      <c r="N17" s="34"/>
      <c r="O17" s="34"/>
      <c r="P17" s="34"/>
      <c r="Q17" s="34"/>
      <c r="R17" s="34"/>
      <c r="S17" s="35"/>
      <c r="T17" s="34"/>
      <c r="U17" s="34"/>
      <c r="V17" s="34"/>
      <c r="W17" s="34"/>
      <c r="X17" s="34"/>
      <c r="Y17" s="34"/>
      <c r="Z17" s="34"/>
    </row>
    <row r="18" spans="1:26" s="3" customFormat="1">
      <c r="A18" s="121"/>
      <c r="B18" s="121"/>
      <c r="C18" s="4"/>
      <c r="D18" s="8" t="s">
        <v>15</v>
      </c>
      <c r="E18" s="12">
        <f>I33</f>
        <v>0</v>
      </c>
      <c r="F18" s="34"/>
      <c r="G18" s="34"/>
      <c r="H18" s="68"/>
      <c r="I18" s="68"/>
      <c r="J18" s="68"/>
      <c r="K18" s="34"/>
      <c r="L18" s="34"/>
      <c r="M18" s="34"/>
      <c r="N18" s="34"/>
      <c r="O18" s="34"/>
      <c r="P18" s="34"/>
      <c r="Q18" s="34"/>
      <c r="R18" s="34"/>
      <c r="S18" s="35"/>
      <c r="T18" s="34"/>
      <c r="U18" s="34"/>
      <c r="V18" s="34"/>
      <c r="W18" s="34"/>
      <c r="X18" s="34"/>
      <c r="Y18" s="34"/>
      <c r="Z18" s="34"/>
    </row>
    <row r="19" spans="1:26" s="3" customFormat="1">
      <c r="B19" s="38"/>
      <c r="D19" s="1" t="s">
        <v>49</v>
      </c>
      <c r="E19" s="70">
        <f>E17-E18</f>
        <v>63200</v>
      </c>
      <c r="F19" s="34"/>
      <c r="G19" s="34"/>
      <c r="H19" s="68"/>
      <c r="I19" s="68"/>
      <c r="J19" s="68"/>
      <c r="K19" s="34"/>
      <c r="L19" s="34"/>
      <c r="M19" s="34"/>
      <c r="N19" s="34"/>
      <c r="O19" s="34"/>
      <c r="P19" s="34"/>
      <c r="Q19" s="34"/>
      <c r="R19" s="34"/>
      <c r="S19" s="35"/>
      <c r="T19" s="34"/>
      <c r="U19" s="34"/>
      <c r="V19" s="34"/>
      <c r="W19" s="34"/>
      <c r="X19" s="34"/>
      <c r="Y19" s="34"/>
      <c r="Z19" s="34"/>
    </row>
    <row r="20" spans="1:26" s="3" customFormat="1">
      <c r="B20" s="55" t="str">
        <f>IF(A1="Purchase2","ေငြလက္ခံရရွိပါသည္ ေက်းဇူးအထူးတင္ရွိပါသည္","ကုန္ထုတ္ေပးၿပီး")</f>
        <v>ကုန္ထုတ္ေပးၿပီး</v>
      </c>
      <c r="D20" s="1" t="s">
        <v>46</v>
      </c>
      <c r="E20" s="70">
        <f>SUMIF(' Data Save '!B:B,Print!B12,' Data Save '!J:J)-E19</f>
        <v>-20300</v>
      </c>
      <c r="F20" s="34"/>
      <c r="G20" s="34"/>
      <c r="H20" s="68"/>
      <c r="I20" s="68"/>
      <c r="J20" s="68"/>
      <c r="K20" s="34"/>
      <c r="L20" s="34"/>
      <c r="M20" s="34"/>
      <c r="N20" s="34"/>
      <c r="O20" s="34"/>
      <c r="P20" s="34"/>
      <c r="Q20" s="35"/>
      <c r="R20" s="34"/>
      <c r="S20" s="34"/>
      <c r="T20" s="34"/>
      <c r="U20" s="34"/>
      <c r="V20" s="34"/>
      <c r="W20" s="34"/>
      <c r="X20" s="34"/>
      <c r="Y20" s="34"/>
      <c r="Z20" s="34"/>
    </row>
    <row r="21" spans="1:26" s="3" customFormat="1">
      <c r="B21" s="38"/>
      <c r="D21" s="8" t="s">
        <v>48</v>
      </c>
      <c r="E21" s="6">
        <f>E19+E20</f>
        <v>42900</v>
      </c>
      <c r="F21" s="34"/>
      <c r="G21" s="34"/>
      <c r="H21" s="68"/>
      <c r="I21" s="68"/>
      <c r="J21" s="68"/>
      <c r="K21" s="34"/>
      <c r="L21" s="34"/>
      <c r="M21" s="34"/>
      <c r="N21" s="34"/>
      <c r="O21" s="34"/>
      <c r="P21" s="35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s="3" customFormat="1">
      <c r="F22" s="34"/>
      <c r="G22" s="34"/>
      <c r="H22" s="68"/>
      <c r="I22" s="68"/>
      <c r="J22" s="68"/>
      <c r="K22" s="34"/>
      <c r="L22" s="34"/>
      <c r="M22" s="34"/>
      <c r="N22" s="34"/>
      <c r="O22" s="34"/>
      <c r="P22" s="35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s="3" customFormat="1">
      <c r="A23" s="124">
        <f>IF(B1="Purchase",E21,"")</f>
        <v>42900</v>
      </c>
      <c r="B23" s="124"/>
      <c r="C23" s="123">
        <f>IF(B1="Purchase",L33,"")</f>
        <v>44316</v>
      </c>
      <c r="D23" s="123"/>
      <c r="E23" s="123"/>
      <c r="F23" s="34"/>
      <c r="G23" s="34"/>
      <c r="H23" s="68"/>
      <c r="I23" s="68"/>
      <c r="J23" s="68"/>
      <c r="K23" s="34"/>
      <c r="L23" s="34"/>
      <c r="M23" s="34"/>
      <c r="N23" s="34"/>
      <c r="O23" s="34"/>
      <c r="P23" s="35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s="3" customFormat="1">
      <c r="A24" s="54"/>
      <c r="B24" s="54"/>
      <c r="C24" s="54"/>
      <c r="D24" s="54" t="str">
        <f>IF(B1="Purchase","ေၾကြးဆပ္ရက္လုံးဝမေက်ာ္ရ။","")</f>
        <v>ေၾကြးဆပ္ရက္လုံးဝမေက်ာ္ရ။</v>
      </c>
      <c r="E24" s="54"/>
      <c r="F24" s="34"/>
      <c r="G24" s="34"/>
      <c r="H24" s="68"/>
      <c r="I24" s="68"/>
      <c r="J24" s="68"/>
      <c r="K24" s="34"/>
      <c r="L24" s="34"/>
      <c r="M24" s="34"/>
      <c r="N24" s="34"/>
      <c r="O24" s="34"/>
      <c r="P24" s="35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s="3" customFormat="1">
      <c r="F25" s="34"/>
      <c r="G25" s="34"/>
      <c r="H25" s="68"/>
      <c r="I25" s="68"/>
      <c r="J25" s="68"/>
      <c r="K25" s="34"/>
      <c r="L25" s="34"/>
      <c r="M25" s="34"/>
      <c r="N25" s="34"/>
      <c r="O25" s="34"/>
      <c r="P25" s="34"/>
      <c r="Q25" s="34"/>
      <c r="R25" s="34"/>
      <c r="S25" s="35"/>
      <c r="T25" s="34"/>
      <c r="U25" s="34"/>
      <c r="V25" s="34"/>
      <c r="W25" s="34"/>
      <c r="X25" s="34"/>
      <c r="Y25" s="34"/>
      <c r="Z25" s="34"/>
    </row>
    <row r="26" spans="1:26" s="3" customFormat="1">
      <c r="F26" s="34"/>
      <c r="G26" s="34"/>
      <c r="H26" s="68"/>
      <c r="I26" s="68"/>
      <c r="J26" s="68"/>
      <c r="K26" s="34"/>
      <c r="L26" s="34"/>
      <c r="M26" s="34"/>
      <c r="N26" s="34"/>
      <c r="O26" s="34"/>
      <c r="P26" s="34"/>
      <c r="Q26" s="34"/>
      <c r="R26" s="34"/>
      <c r="S26" s="35"/>
      <c r="T26" s="34"/>
      <c r="U26" s="34"/>
      <c r="V26" s="34"/>
      <c r="W26" s="34"/>
      <c r="X26" s="34"/>
      <c r="Y26" s="34"/>
      <c r="Z26" s="34"/>
    </row>
    <row r="27" spans="1:26" s="3" customFormat="1">
      <c r="B27" s="46"/>
      <c r="C27" s="11"/>
      <c r="D27" s="11"/>
      <c r="E27" s="20"/>
      <c r="F27" s="34"/>
      <c r="G27" s="34"/>
      <c r="H27" s="68"/>
      <c r="I27" s="68"/>
      <c r="J27" s="68"/>
      <c r="K27" s="34"/>
      <c r="L27" s="34"/>
      <c r="M27" s="34"/>
      <c r="N27" s="34"/>
      <c r="O27" s="34"/>
      <c r="P27" s="34"/>
      <c r="Q27" s="34"/>
      <c r="R27" s="34"/>
      <c r="S27" s="35"/>
      <c r="T27" s="34"/>
      <c r="U27" s="34"/>
      <c r="V27" s="34"/>
      <c r="W27" s="34"/>
      <c r="X27" s="34"/>
      <c r="Y27" s="34"/>
      <c r="Z27" s="34"/>
    </row>
    <row r="28" spans="1:26" s="3" customFormat="1">
      <c r="A28" s="122" t="s">
        <v>6</v>
      </c>
      <c r="B28" s="122"/>
      <c r="C28" s="122"/>
      <c r="D28" s="19" t="s">
        <v>4</v>
      </c>
      <c r="E28" s="19"/>
      <c r="F28" s="34"/>
      <c r="G28" s="34"/>
      <c r="H28" s="68"/>
      <c r="I28" s="68"/>
      <c r="J28" s="68"/>
      <c r="K28" s="34"/>
      <c r="L28" s="34"/>
      <c r="M28" s="34"/>
      <c r="N28" s="34"/>
      <c r="O28" s="34"/>
      <c r="P28" s="34"/>
      <c r="Q28" s="34"/>
      <c r="R28" s="34"/>
      <c r="S28" s="35"/>
      <c r="T28" s="34"/>
      <c r="U28" s="34"/>
      <c r="V28" s="34"/>
      <c r="W28" s="34"/>
      <c r="X28" s="34"/>
      <c r="Y28" s="34"/>
      <c r="Z28" s="34"/>
    </row>
    <row r="29" spans="1:26" s="3" customFormat="1">
      <c r="A29" s="122" t="s">
        <v>7</v>
      </c>
      <c r="B29" s="122"/>
      <c r="C29" s="122"/>
      <c r="D29" s="19" t="s">
        <v>5</v>
      </c>
      <c r="E29" s="19"/>
      <c r="F29" s="34"/>
      <c r="G29" s="34"/>
      <c r="H29" s="68"/>
      <c r="I29" s="68"/>
      <c r="J29" s="68"/>
      <c r="K29" s="34"/>
      <c r="L29" s="34"/>
      <c r="M29" s="34"/>
      <c r="N29" s="34"/>
      <c r="O29" s="34"/>
      <c r="P29" s="34"/>
      <c r="Q29" s="34"/>
      <c r="R29" s="34"/>
      <c r="S29" s="35"/>
      <c r="T29" s="34"/>
      <c r="U29" s="34"/>
      <c r="V29" s="34"/>
      <c r="W29" s="34"/>
      <c r="X29" s="34"/>
      <c r="Y29" s="34"/>
      <c r="Z29" s="34"/>
    </row>
    <row r="30" spans="1:26" s="3" customFormat="1" ht="36" customHeight="1">
      <c r="F30" s="34"/>
      <c r="G30" s="34"/>
      <c r="H30" s="68"/>
      <c r="I30" s="68"/>
      <c r="J30" s="68"/>
      <c r="K30" s="34"/>
      <c r="L30" s="34"/>
      <c r="M30" s="34"/>
      <c r="N30" s="34"/>
      <c r="O30" s="34"/>
      <c r="P30" s="34"/>
      <c r="Q30" s="34"/>
      <c r="R30" s="34"/>
      <c r="S30" s="35"/>
      <c r="T30" s="34"/>
      <c r="U30" s="34"/>
      <c r="V30" s="34"/>
      <c r="W30" s="34"/>
      <c r="X30" s="34"/>
      <c r="Y30" s="34"/>
      <c r="Z30" s="34"/>
    </row>
    <row r="31" spans="1:26" s="34" customFormat="1" ht="39.950000000000003" customHeight="1">
      <c r="A31" s="3"/>
      <c r="B31" s="21"/>
      <c r="C31" s="21" t="s">
        <v>11</v>
      </c>
      <c r="D31" s="21"/>
      <c r="E31" s="21"/>
      <c r="H31" s="68"/>
      <c r="I31" s="68"/>
      <c r="J31" s="68"/>
      <c r="S31" s="35"/>
    </row>
    <row r="32" spans="1:26" s="93" customFormat="1" ht="36" customHeight="1">
      <c r="A32" s="91">
        <v>1</v>
      </c>
      <c r="B32" s="91">
        <v>2</v>
      </c>
      <c r="C32" s="91">
        <v>3</v>
      </c>
      <c r="D32" s="91">
        <v>4</v>
      </c>
      <c r="E32" s="91">
        <v>5</v>
      </c>
      <c r="F32" s="91">
        <v>6</v>
      </c>
      <c r="G32" s="91">
        <v>7</v>
      </c>
      <c r="H32" s="92">
        <v>8</v>
      </c>
      <c r="I32" s="92">
        <v>9</v>
      </c>
      <c r="J32" s="92">
        <v>10</v>
      </c>
      <c r="K32" s="91">
        <v>11</v>
      </c>
      <c r="L32" s="91">
        <v>12</v>
      </c>
      <c r="M32" s="91">
        <v>13</v>
      </c>
      <c r="N32" s="91">
        <v>14</v>
      </c>
      <c r="O32" s="91">
        <v>15</v>
      </c>
      <c r="P32" s="91">
        <v>16</v>
      </c>
      <c r="Q32" s="91">
        <v>17</v>
      </c>
      <c r="R32" s="91">
        <v>18</v>
      </c>
      <c r="S32" s="91">
        <v>19</v>
      </c>
      <c r="T32" s="91">
        <v>20</v>
      </c>
      <c r="X32" s="94"/>
      <c r="Y32" s="94"/>
      <c r="Z32" s="94"/>
    </row>
    <row r="33" spans="1:20" s="99" customFormat="1" ht="36" customHeight="1">
      <c r="A33" s="94"/>
      <c r="B33" s="95" t="str">
        <f>VLOOKUP($E$11,' Data Save '!$A:$N,B32,0)</f>
        <v>SPR004</v>
      </c>
      <c r="C33" s="95">
        <f>VLOOKUP($E$11,' Data Save '!$A:$N,C32,0)</f>
        <v>0</v>
      </c>
      <c r="D33" s="96">
        <f>VLOOKUP($E$11,' Data Save '!$A:$N,D32,0)</f>
        <v>44308</v>
      </c>
      <c r="E33" s="95" t="str">
        <f>VLOOKUP($E$11,' Data Save '!$A:$N,E32,0)</f>
        <v xml:space="preserve">ကိုေက်ာ္စိုး </v>
      </c>
      <c r="F33" s="95" t="str">
        <f>VLOOKUP($E$11,' Data Save '!$A:$N,F32,0)</f>
        <v>ဝါးေသာက္</v>
      </c>
      <c r="G33" s="95" t="str">
        <f>VLOOKUP($E$11,' Data Save '!$A:$N,G32,0)</f>
        <v>Tri Spare</v>
      </c>
      <c r="H33" s="97">
        <f>VLOOKUP($E$11,' Data Save '!$A:$N,H32,0)</f>
        <v>63200</v>
      </c>
      <c r="I33" s="97">
        <f>VLOOKUP($E$11,' Data Save '!$A:$N,I32,0)</f>
        <v>0</v>
      </c>
      <c r="J33" s="97">
        <f>VLOOKUP($E$11,' Data Save '!$A:$N,J32,0)</f>
        <v>63200</v>
      </c>
      <c r="K33" s="95">
        <f>VLOOKUP($E$11,' Data Save '!$A:$N,K32,0)</f>
        <v>0</v>
      </c>
      <c r="L33" s="96">
        <f>VLOOKUP($E$11,' Data Save '!$A:$N,L32,0)</f>
        <v>44316</v>
      </c>
      <c r="M33" s="95">
        <f>VLOOKUP($E$11,' Data Save '!$A:$N,M32,0)</f>
        <v>0</v>
      </c>
      <c r="N33" s="95">
        <f>VLOOKUP($E$11,' Data Save '!$A:$N,N32,0)</f>
        <v>0</v>
      </c>
      <c r="O33" s="95" t="e">
        <f>VLOOKUP($E$11,' Data Save '!$A:$N,O32,0)</f>
        <v>#REF!</v>
      </c>
      <c r="P33" s="95" t="e">
        <f>VLOOKUP($E$11,' Data Save '!$A:$N,P32,0)</f>
        <v>#REF!</v>
      </c>
      <c r="Q33" s="95" t="e">
        <f>VLOOKUP($E$11,' Data Save '!$A:$N,Q32,0)</f>
        <v>#REF!</v>
      </c>
      <c r="R33" s="94"/>
      <c r="S33" s="98"/>
      <c r="T33" s="94"/>
    </row>
    <row r="34" spans="1:20" ht="36" customHeight="1">
      <c r="B34" s="23"/>
      <c r="C34" s="23"/>
      <c r="D34" s="23"/>
      <c r="E34" s="23"/>
    </row>
    <row r="35" spans="1:20" ht="36" customHeight="1">
      <c r="B35" s="23"/>
      <c r="C35" s="23"/>
      <c r="D35" s="23"/>
      <c r="E35" s="23"/>
    </row>
    <row r="36" spans="1:20" ht="36" customHeight="1">
      <c r="B36" s="23"/>
      <c r="C36" s="23"/>
      <c r="D36" s="23"/>
      <c r="E36" s="23"/>
    </row>
    <row r="37" spans="1:20" ht="36" customHeight="1">
      <c r="B37" s="23"/>
      <c r="C37" s="23"/>
      <c r="D37" s="23"/>
      <c r="E37" s="23"/>
    </row>
    <row r="38" spans="1:20" ht="36" customHeight="1">
      <c r="B38" s="23"/>
      <c r="C38" s="23"/>
      <c r="D38" s="23"/>
      <c r="E38" s="23"/>
    </row>
    <row r="39" spans="1:20" ht="36" customHeight="1">
      <c r="B39" s="23"/>
      <c r="C39" s="23"/>
      <c r="D39" s="23"/>
      <c r="E39" s="23"/>
    </row>
    <row r="40" spans="1:20" ht="36" customHeight="1">
      <c r="B40" s="23"/>
      <c r="C40" s="23"/>
      <c r="D40" s="23"/>
      <c r="E40" s="23"/>
    </row>
    <row r="41" spans="1:20" ht="36" customHeight="1">
      <c r="B41" s="23"/>
      <c r="C41" s="23"/>
      <c r="D41" s="23"/>
      <c r="E41" s="23"/>
    </row>
    <row r="42" spans="1:20">
      <c r="B42" s="23"/>
      <c r="C42" s="23"/>
      <c r="D42" s="23"/>
      <c r="E42" s="23"/>
    </row>
    <row r="43" spans="1:20">
      <c r="D43" s="25"/>
      <c r="E43" s="26"/>
      <c r="F43" s="27"/>
      <c r="G43" s="27"/>
      <c r="H43" s="28"/>
      <c r="I43" s="28"/>
      <c r="J43" s="28"/>
      <c r="K43" s="28"/>
      <c r="L43" s="29"/>
      <c r="M43" s="30"/>
      <c r="N43" s="30"/>
      <c r="O43" s="30"/>
      <c r="P43" s="30"/>
      <c r="Q43" s="31"/>
    </row>
    <row r="44" spans="1:20">
      <c r="A44" s="32"/>
      <c r="B44" s="27"/>
      <c r="C44" s="27"/>
      <c r="D44" s="33"/>
      <c r="E44" s="27"/>
    </row>
    <row r="54" spans="1:17"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32"/>
    </row>
    <row r="55" spans="1:17">
      <c r="A55" s="32"/>
      <c r="B55" s="27"/>
      <c r="C55" s="27"/>
      <c r="D55" s="33"/>
      <c r="E55" s="27"/>
    </row>
  </sheetData>
  <mergeCells count="5">
    <mergeCell ref="A18:B18"/>
    <mergeCell ref="A28:C28"/>
    <mergeCell ref="A29:C29"/>
    <mergeCell ref="C23:E23"/>
    <mergeCell ref="A23:B23"/>
  </mergeCells>
  <pageMargins left="0.44" right="0.2" top="0.75" bottom="0.75" header="0.3" footer="0.3"/>
  <pageSetup paperSize="11" scale="65" orientation="portrait" verticalDpi="0" r:id="rId1"/>
  <ignoredErrors>
    <ignoredError sqref="E1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COA</vt:lpstr>
      <vt:lpstr>Dashboard</vt:lpstr>
      <vt:lpstr> Data Save </vt:lpstr>
      <vt:lpstr>Total Balance</vt:lpstr>
      <vt:lpstr>Print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2021-05-22T03:54:57Z</cp:lastPrinted>
  <dcterms:created xsi:type="dcterms:W3CDTF">2020-05-10T22:03:17Z</dcterms:created>
  <dcterms:modified xsi:type="dcterms:W3CDTF">2021-08-22T09:31:24Z</dcterms:modified>
</cp:coreProperties>
</file>